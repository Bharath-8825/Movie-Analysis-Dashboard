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HARATH\Documents\BESANT\EXCEL projects\"/>
    </mc:Choice>
  </mc:AlternateContent>
  <xr:revisionPtr revIDLastSave="0" documentId="13_ncr:1_{37ED136B-FD78-4B0D-BBA1-A8157A1AA7D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" r:id="rId1"/>
    <sheet name="Movie_Data" sheetId="2" r:id="rId2"/>
    <sheet name="Pivot table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J5" i="1"/>
  <c r="F5" i="1"/>
  <c r="B5" i="1"/>
</calcChain>
</file>

<file path=xl/sharedStrings.xml><?xml version="1.0" encoding="utf-8"?>
<sst xmlns="http://schemas.openxmlformats.org/spreadsheetml/2006/main" count="4095" uniqueCount="1068">
  <si>
    <t>Movie_ID</t>
  </si>
  <si>
    <t>Movie_Name</t>
  </si>
  <si>
    <t>Release_Year</t>
  </si>
  <si>
    <t>Genre</t>
  </si>
  <si>
    <t>Country</t>
  </si>
  <si>
    <t>Runtime_Min</t>
  </si>
  <si>
    <t>Budget_Million_USD</t>
  </si>
  <si>
    <t>Revenue_Million_USD</t>
  </si>
  <si>
    <t>IMDb_Rating</t>
  </si>
  <si>
    <t>Studio</t>
  </si>
  <si>
    <t>Profit_Million_USD</t>
  </si>
  <si>
    <t>ROI_%</t>
  </si>
  <si>
    <t>Inception</t>
  </si>
  <si>
    <t>Comedy</t>
  </si>
  <si>
    <t>South Korea</t>
  </si>
  <si>
    <t>CJ Entertainment</t>
  </si>
  <si>
    <t>The Dark Knight</t>
  </si>
  <si>
    <t>Sci-Fi</t>
  </si>
  <si>
    <t>India</t>
  </si>
  <si>
    <t>Hombale Films</t>
  </si>
  <si>
    <t>Interstellar</t>
  </si>
  <si>
    <t>Adventure</t>
  </si>
  <si>
    <t>USA</t>
  </si>
  <si>
    <t>Disney</t>
  </si>
  <si>
    <t>Avengers: Endgame</t>
  </si>
  <si>
    <t>Action</t>
  </si>
  <si>
    <t>Parasite</t>
  </si>
  <si>
    <t>Horror</t>
  </si>
  <si>
    <t>A24</t>
  </si>
  <si>
    <t>3 Idiots</t>
  </si>
  <si>
    <t>Japan</t>
  </si>
  <si>
    <t>Universal</t>
  </si>
  <si>
    <t>Dangal</t>
  </si>
  <si>
    <t>France</t>
  </si>
  <si>
    <t>Marvel</t>
  </si>
  <si>
    <t>RRR</t>
  </si>
  <si>
    <t>Romance</t>
  </si>
  <si>
    <t>20th Century Fox</t>
  </si>
  <si>
    <t>Joker</t>
  </si>
  <si>
    <t>Canada</t>
  </si>
  <si>
    <t>Paramount</t>
  </si>
  <si>
    <t>Titanic</t>
  </si>
  <si>
    <t>Avatar</t>
  </si>
  <si>
    <t>The Godfather</t>
  </si>
  <si>
    <t>Toy Story</t>
  </si>
  <si>
    <t>Thriller</t>
  </si>
  <si>
    <t>Coco</t>
  </si>
  <si>
    <t>Animation</t>
  </si>
  <si>
    <t>Panorama Studios</t>
  </si>
  <si>
    <t>Frozen</t>
  </si>
  <si>
    <t>Black Panther</t>
  </si>
  <si>
    <t>Sony Pictures</t>
  </si>
  <si>
    <t>La La Land</t>
  </si>
  <si>
    <t>Crime</t>
  </si>
  <si>
    <t>Get Out</t>
  </si>
  <si>
    <t>A Quiet Place</t>
  </si>
  <si>
    <t>Top Gun: Maverick</t>
  </si>
  <si>
    <t>Warner Bros.</t>
  </si>
  <si>
    <t>The Hangover</t>
  </si>
  <si>
    <t>Yash Raj Films</t>
  </si>
  <si>
    <t>Drishyam</t>
  </si>
  <si>
    <t>Andhadhun</t>
  </si>
  <si>
    <t>Kantara</t>
  </si>
  <si>
    <t>Everything Everywhere All at Once</t>
  </si>
  <si>
    <t>Oppenheimer</t>
  </si>
  <si>
    <t>Drama</t>
  </si>
  <si>
    <t>UK</t>
  </si>
  <si>
    <t>Barbie</t>
  </si>
  <si>
    <t>Aamir Khan Productions</t>
  </si>
  <si>
    <t>Dune: Part Two</t>
  </si>
  <si>
    <t>Inside Out 2</t>
  </si>
  <si>
    <t>Pushpa: The Rise</t>
  </si>
  <si>
    <t>Inception 0031</t>
  </si>
  <si>
    <t>The Dark Knight 0032</t>
  </si>
  <si>
    <t>Interstellar 0033</t>
  </si>
  <si>
    <t>Mythri Movie Makers</t>
  </si>
  <si>
    <t>Avengers: Endgame 0034</t>
  </si>
  <si>
    <t>Parasite 0035</t>
  </si>
  <si>
    <t>3 Idiots 0036</t>
  </si>
  <si>
    <t>Lionsgate</t>
  </si>
  <si>
    <t>Dangal 0037</t>
  </si>
  <si>
    <t>RRR 0038</t>
  </si>
  <si>
    <t>Joker 0039</t>
  </si>
  <si>
    <t>Titanic 0040</t>
  </si>
  <si>
    <t>Avatar 0041</t>
  </si>
  <si>
    <t>The Godfather 0042</t>
  </si>
  <si>
    <t>Toy Story 0043</t>
  </si>
  <si>
    <t>Coco 0044</t>
  </si>
  <si>
    <t>Frozen 0045</t>
  </si>
  <si>
    <t>Black Panther 0046</t>
  </si>
  <si>
    <t>La La Land 0047</t>
  </si>
  <si>
    <t>Pixar</t>
  </si>
  <si>
    <t>Get Out 0048</t>
  </si>
  <si>
    <t>A Quiet Place 0049</t>
  </si>
  <si>
    <t>Top Gun: Maverick 0050</t>
  </si>
  <si>
    <t>The Hangover 0051</t>
  </si>
  <si>
    <t>Drishyam 0052</t>
  </si>
  <si>
    <t>Andhadhun 0053</t>
  </si>
  <si>
    <t>Kantara 0054</t>
  </si>
  <si>
    <t>Everything Everywhere All at Once 0055</t>
  </si>
  <si>
    <t>Oppenheimer 0056</t>
  </si>
  <si>
    <t>Barbie 0057</t>
  </si>
  <si>
    <t>Dune: Part Two 0058</t>
  </si>
  <si>
    <t>Inside Out 2 0059</t>
  </si>
  <si>
    <t>Pushpa: The Rise 0060</t>
  </si>
  <si>
    <t>Inception 0061</t>
  </si>
  <si>
    <t>The Dark Knight 0062</t>
  </si>
  <si>
    <t>Interstellar 0063</t>
  </si>
  <si>
    <t>Avengers: Endgame 0064</t>
  </si>
  <si>
    <t>Parasite 0065</t>
  </si>
  <si>
    <t>3 Idiots 0066</t>
  </si>
  <si>
    <t>Dangal 0067</t>
  </si>
  <si>
    <t>RRR 0068</t>
  </si>
  <si>
    <t>Joker 0069</t>
  </si>
  <si>
    <t>Titanic 0070</t>
  </si>
  <si>
    <t>Avatar 0071</t>
  </si>
  <si>
    <t>The Godfather 0072</t>
  </si>
  <si>
    <t>Toy Story 0073</t>
  </si>
  <si>
    <t>Coco 0074</t>
  </si>
  <si>
    <t>Frozen 0075</t>
  </si>
  <si>
    <t>Black Panther 0076</t>
  </si>
  <si>
    <t>La La Land 0077</t>
  </si>
  <si>
    <t>Get Out 0078</t>
  </si>
  <si>
    <t>A Quiet Place 0079</t>
  </si>
  <si>
    <t>Top Gun: Maverick 0080</t>
  </si>
  <si>
    <t>The Hangover 0081</t>
  </si>
  <si>
    <t>Drishyam 0082</t>
  </si>
  <si>
    <t>Australia</t>
  </si>
  <si>
    <t>Andhadhun 0083</t>
  </si>
  <si>
    <t>Kantara 0084</t>
  </si>
  <si>
    <t>Everything Everywhere All at Once 0085</t>
  </si>
  <si>
    <t>Oppenheimer 0086</t>
  </si>
  <si>
    <t>Barbie 0087</t>
  </si>
  <si>
    <t>Dune: Part Two 0088</t>
  </si>
  <si>
    <t>Inside Out 2 0089</t>
  </si>
  <si>
    <t>Pushpa: The Rise 0090</t>
  </si>
  <si>
    <t>Inception 0091</t>
  </si>
  <si>
    <t>The Dark Knight 0092</t>
  </si>
  <si>
    <t>Interstellar 0093</t>
  </si>
  <si>
    <t>Avengers: Endgame 0094</t>
  </si>
  <si>
    <t>Parasite 0095</t>
  </si>
  <si>
    <t>3 Idiots 0096</t>
  </si>
  <si>
    <t>Dangal 0097</t>
  </si>
  <si>
    <t>RRR 0098</t>
  </si>
  <si>
    <t>Joker 0099</t>
  </si>
  <si>
    <t>Titanic 0100</t>
  </si>
  <si>
    <t>Avatar 0101</t>
  </si>
  <si>
    <t>The Godfather 0102</t>
  </si>
  <si>
    <t>Toy Story 0103</t>
  </si>
  <si>
    <t>Coco 0104</t>
  </si>
  <si>
    <t>Frozen 0105</t>
  </si>
  <si>
    <t>Black Panther 0106</t>
  </si>
  <si>
    <t>La La Land 0107</t>
  </si>
  <si>
    <t>Get Out 0108</t>
  </si>
  <si>
    <t>A Quiet Place 0109</t>
  </si>
  <si>
    <t>Top Gun: Maverick 0110</t>
  </si>
  <si>
    <t>The Hangover 0111</t>
  </si>
  <si>
    <t>Drishyam 0112</t>
  </si>
  <si>
    <t>Andhadhun 0113</t>
  </si>
  <si>
    <t>Kantara 0114</t>
  </si>
  <si>
    <t>Everything Everywhere All at Once 0115</t>
  </si>
  <si>
    <t>Oppenheimer 0116</t>
  </si>
  <si>
    <t>Barbie 0117</t>
  </si>
  <si>
    <t>Dune: Part Two 0118</t>
  </si>
  <si>
    <t>Inside Out 2 0119</t>
  </si>
  <si>
    <t>Pushpa: The Rise 0120</t>
  </si>
  <si>
    <t>Inception 0121</t>
  </si>
  <si>
    <t>The Dark Knight 0122</t>
  </si>
  <si>
    <t>Interstellar 0123</t>
  </si>
  <si>
    <t>Avengers: Endgame 0124</t>
  </si>
  <si>
    <t>Parasite 0125</t>
  </si>
  <si>
    <t>3 Idiots 0126</t>
  </si>
  <si>
    <t>Dangal 0127</t>
  </si>
  <si>
    <t>RRR 0128</t>
  </si>
  <si>
    <t>Joker 0129</t>
  </si>
  <si>
    <t>Titanic 0130</t>
  </si>
  <si>
    <t>Avatar 0131</t>
  </si>
  <si>
    <t>The Godfather 0132</t>
  </si>
  <si>
    <t>Toy Story 0133</t>
  </si>
  <si>
    <t>Coco 0134</t>
  </si>
  <si>
    <t>Frozen 0135</t>
  </si>
  <si>
    <t>Black Panther 0136</t>
  </si>
  <si>
    <t>La La Land 0137</t>
  </si>
  <si>
    <t>Get Out 0138</t>
  </si>
  <si>
    <t>A Quiet Place 0139</t>
  </si>
  <si>
    <t>Top Gun: Maverick 0140</t>
  </si>
  <si>
    <t>The Hangover 0141</t>
  </si>
  <si>
    <t>Drishyam 0142</t>
  </si>
  <si>
    <t>Andhadhun 0143</t>
  </si>
  <si>
    <t>Kantara 0144</t>
  </si>
  <si>
    <t>Everything Everywhere All at Once 0145</t>
  </si>
  <si>
    <t>Oppenheimer 0146</t>
  </si>
  <si>
    <t>Barbie 0147</t>
  </si>
  <si>
    <t>Dune: Part Two 0148</t>
  </si>
  <si>
    <t>Inside Out 2 0149</t>
  </si>
  <si>
    <t>Pushpa: The Rise 0150</t>
  </si>
  <si>
    <t>Inception 0151</t>
  </si>
  <si>
    <t>The Dark Knight 0152</t>
  </si>
  <si>
    <t>Interstellar 0153</t>
  </si>
  <si>
    <t>Avengers: Endgame 0154</t>
  </si>
  <si>
    <t>Parasite 0155</t>
  </si>
  <si>
    <t>3 Idiots 0156</t>
  </si>
  <si>
    <t>Dangal 0157</t>
  </si>
  <si>
    <t>RRR 0158</t>
  </si>
  <si>
    <t>Joker 0159</t>
  </si>
  <si>
    <t>Titanic 0160</t>
  </si>
  <si>
    <t>Avatar 0161</t>
  </si>
  <si>
    <t>The Godfather 0162</t>
  </si>
  <si>
    <t>Toy Story 0163</t>
  </si>
  <si>
    <t>Coco 0164</t>
  </si>
  <si>
    <t>Frozen 0165</t>
  </si>
  <si>
    <t>Black Panther 0166</t>
  </si>
  <si>
    <t>La La Land 0167</t>
  </si>
  <si>
    <t>Get Out 0168</t>
  </si>
  <si>
    <t>A Quiet Place 0169</t>
  </si>
  <si>
    <t>Top Gun: Maverick 0170</t>
  </si>
  <si>
    <t>The Hangover 0171</t>
  </si>
  <si>
    <t>Drishyam 0172</t>
  </si>
  <si>
    <t>Andhadhun 0173</t>
  </si>
  <si>
    <t>Kantara 0174</t>
  </si>
  <si>
    <t>Everything Everywhere All at Once 0175</t>
  </si>
  <si>
    <t>Oppenheimer 0176</t>
  </si>
  <si>
    <t>Barbie 0177</t>
  </si>
  <si>
    <t>Dune: Part Two 0178</t>
  </si>
  <si>
    <t>Inside Out 2 0179</t>
  </si>
  <si>
    <t>Pushpa: The Rise 0180</t>
  </si>
  <si>
    <t>Inception 0181</t>
  </si>
  <si>
    <t>The Dark Knight 0182</t>
  </si>
  <si>
    <t>Interstellar 0183</t>
  </si>
  <si>
    <t>Avengers: Endgame 0184</t>
  </si>
  <si>
    <t>Parasite 0185</t>
  </si>
  <si>
    <t>3 Idiots 0186</t>
  </si>
  <si>
    <t>Dangal 0187</t>
  </si>
  <si>
    <t>RRR 0188</t>
  </si>
  <si>
    <t>Joker 0189</t>
  </si>
  <si>
    <t>Titanic 0190</t>
  </si>
  <si>
    <t>Avatar 0191</t>
  </si>
  <si>
    <t>The Godfather 0192</t>
  </si>
  <si>
    <t>Toy Story 0193</t>
  </si>
  <si>
    <t>Coco 0194</t>
  </si>
  <si>
    <t>Frozen 0195</t>
  </si>
  <si>
    <t>Black Panther 0196</t>
  </si>
  <si>
    <t>La La Land 0197</t>
  </si>
  <si>
    <t>Get Out 0198</t>
  </si>
  <si>
    <t>A Quiet Place 0199</t>
  </si>
  <si>
    <t>Top Gun: Maverick 0200</t>
  </si>
  <si>
    <t>The Hangover 0201</t>
  </si>
  <si>
    <t>Drishyam 0202</t>
  </si>
  <si>
    <t>Andhadhun 0203</t>
  </si>
  <si>
    <t>Kantara 0204</t>
  </si>
  <si>
    <t>Everything Everywhere All at Once 0205</t>
  </si>
  <si>
    <t>Oppenheimer 0206</t>
  </si>
  <si>
    <t>Barbie 0207</t>
  </si>
  <si>
    <t>Dune: Part Two 0208</t>
  </si>
  <si>
    <t>Inside Out 2 0209</t>
  </si>
  <si>
    <t>Pushpa: The Rise 0210</t>
  </si>
  <si>
    <t>Inception 0211</t>
  </si>
  <si>
    <t>The Dark Knight 0212</t>
  </si>
  <si>
    <t>Interstellar 0213</t>
  </si>
  <si>
    <t>Avengers: Endgame 0214</t>
  </si>
  <si>
    <t>Parasite 0215</t>
  </si>
  <si>
    <t>3 Idiots 0216</t>
  </si>
  <si>
    <t>Dangal 0217</t>
  </si>
  <si>
    <t>RRR 0218</t>
  </si>
  <si>
    <t>Joker 0219</t>
  </si>
  <si>
    <t>Titanic 0220</t>
  </si>
  <si>
    <t>Avatar 0221</t>
  </si>
  <si>
    <t>The Godfather 0222</t>
  </si>
  <si>
    <t>Toy Story 0223</t>
  </si>
  <si>
    <t>Coco 0224</t>
  </si>
  <si>
    <t>Frozen 0225</t>
  </si>
  <si>
    <t>Black Panther 0226</t>
  </si>
  <si>
    <t>La La Land 0227</t>
  </si>
  <si>
    <t>Get Out 0228</t>
  </si>
  <si>
    <t>A Quiet Place 0229</t>
  </si>
  <si>
    <t>Top Gun: Maverick 0230</t>
  </si>
  <si>
    <t>The Hangover 0231</t>
  </si>
  <si>
    <t>Drishyam 0232</t>
  </si>
  <si>
    <t>Andhadhun 0233</t>
  </si>
  <si>
    <t>Kantara 0234</t>
  </si>
  <si>
    <t>Everything Everywhere All at Once 0235</t>
  </si>
  <si>
    <t>Oppenheimer 0236</t>
  </si>
  <si>
    <t>Barbie 0237</t>
  </si>
  <si>
    <t>Dune: Part Two 0238</t>
  </si>
  <si>
    <t>Inside Out 2 0239</t>
  </si>
  <si>
    <t>Pushpa: The Rise 0240</t>
  </si>
  <si>
    <t>Inception 0241</t>
  </si>
  <si>
    <t>The Dark Knight 0242</t>
  </si>
  <si>
    <t>Interstellar 0243</t>
  </si>
  <si>
    <t>Avengers: Endgame 0244</t>
  </si>
  <si>
    <t>Parasite 0245</t>
  </si>
  <si>
    <t>3 Idiots 0246</t>
  </si>
  <si>
    <t>Dangal 0247</t>
  </si>
  <si>
    <t>RRR 0248</t>
  </si>
  <si>
    <t>Joker 0249</t>
  </si>
  <si>
    <t>Titanic 0250</t>
  </si>
  <si>
    <t>Avatar 0251</t>
  </si>
  <si>
    <t>The Godfather 0252</t>
  </si>
  <si>
    <t>Toy Story 0253</t>
  </si>
  <si>
    <t>Coco 0254</t>
  </si>
  <si>
    <t>Frozen 0255</t>
  </si>
  <si>
    <t>Black Panther 0256</t>
  </si>
  <si>
    <t>La La Land 0257</t>
  </si>
  <si>
    <t>Get Out 0258</t>
  </si>
  <si>
    <t>A Quiet Place 0259</t>
  </si>
  <si>
    <t>Top Gun: Maverick 0260</t>
  </si>
  <si>
    <t>The Hangover 0261</t>
  </si>
  <si>
    <t>Drishyam 0262</t>
  </si>
  <si>
    <t>Andhadhun 0263</t>
  </si>
  <si>
    <t>Kantara 0264</t>
  </si>
  <si>
    <t>Everything Everywhere All at Once 0265</t>
  </si>
  <si>
    <t>Oppenheimer 0266</t>
  </si>
  <si>
    <t>Barbie 0267</t>
  </si>
  <si>
    <t>Dune: Part Two 0268</t>
  </si>
  <si>
    <t>Inside Out 2 0269</t>
  </si>
  <si>
    <t>Pushpa: The Rise 0270</t>
  </si>
  <si>
    <t>Inception 0271</t>
  </si>
  <si>
    <t>The Dark Knight 0272</t>
  </si>
  <si>
    <t>Interstellar 0273</t>
  </si>
  <si>
    <t>Avengers: Endgame 0274</t>
  </si>
  <si>
    <t>Parasite 0275</t>
  </si>
  <si>
    <t>3 Idiots 0276</t>
  </si>
  <si>
    <t>Dangal 0277</t>
  </si>
  <si>
    <t>RRR 0278</t>
  </si>
  <si>
    <t>Joker 0279</t>
  </si>
  <si>
    <t>Titanic 0280</t>
  </si>
  <si>
    <t>Avatar 0281</t>
  </si>
  <si>
    <t>The Godfather 0282</t>
  </si>
  <si>
    <t>Toy Story 0283</t>
  </si>
  <si>
    <t>Coco 0284</t>
  </si>
  <si>
    <t>Frozen 0285</t>
  </si>
  <si>
    <t>Black Panther 0286</t>
  </si>
  <si>
    <t>La La Land 0287</t>
  </si>
  <si>
    <t>Get Out 0288</t>
  </si>
  <si>
    <t>A Quiet Place 0289</t>
  </si>
  <si>
    <t>Top Gun: Maverick 0290</t>
  </si>
  <si>
    <t>The Hangover 0291</t>
  </si>
  <si>
    <t>Drishyam 0292</t>
  </si>
  <si>
    <t>Andhadhun 0293</t>
  </si>
  <si>
    <t>Kantara 0294</t>
  </si>
  <si>
    <t>Everything Everywhere All at Once 0295</t>
  </si>
  <si>
    <t>Oppenheimer 0296</t>
  </si>
  <si>
    <t>Barbie 0297</t>
  </si>
  <si>
    <t>Dune: Part Two 0298</t>
  </si>
  <si>
    <t>Inside Out 2 0299</t>
  </si>
  <si>
    <t>Pushpa: The Rise 0300</t>
  </si>
  <si>
    <t>Inception 0301</t>
  </si>
  <si>
    <t>The Dark Knight 0302</t>
  </si>
  <si>
    <t>Interstellar 0303</t>
  </si>
  <si>
    <t>Avengers: Endgame 0304</t>
  </si>
  <si>
    <t>Parasite 0305</t>
  </si>
  <si>
    <t>3 Idiots 0306</t>
  </si>
  <si>
    <t>Dangal 0307</t>
  </si>
  <si>
    <t>RRR 0308</t>
  </si>
  <si>
    <t>Joker 0309</t>
  </si>
  <si>
    <t>Titanic 0310</t>
  </si>
  <si>
    <t>Avatar 0311</t>
  </si>
  <si>
    <t>The Godfather 0312</t>
  </si>
  <si>
    <t>Toy Story 0313</t>
  </si>
  <si>
    <t>Coco 0314</t>
  </si>
  <si>
    <t>Frozen 0315</t>
  </si>
  <si>
    <t>Black Panther 0316</t>
  </si>
  <si>
    <t>La La Land 0317</t>
  </si>
  <si>
    <t>Get Out 0318</t>
  </si>
  <si>
    <t>A Quiet Place 0319</t>
  </si>
  <si>
    <t>Top Gun: Maverick 0320</t>
  </si>
  <si>
    <t>The Hangover 0321</t>
  </si>
  <si>
    <t>Drishyam 0322</t>
  </si>
  <si>
    <t>Andhadhun 0323</t>
  </si>
  <si>
    <t>Kantara 0324</t>
  </si>
  <si>
    <t>Everything Everywhere All at Once 0325</t>
  </si>
  <si>
    <t>Oppenheimer 0326</t>
  </si>
  <si>
    <t>Barbie 0327</t>
  </si>
  <si>
    <t>Dune: Part Two 0328</t>
  </si>
  <si>
    <t>Inside Out 2 0329</t>
  </si>
  <si>
    <t>Pushpa: The Rise 0330</t>
  </si>
  <si>
    <t>Inception 0331</t>
  </si>
  <si>
    <t>The Dark Knight 0332</t>
  </si>
  <si>
    <t>Interstellar 0333</t>
  </si>
  <si>
    <t>Avengers: Endgame 0334</t>
  </si>
  <si>
    <t>Parasite 0335</t>
  </si>
  <si>
    <t>3 Idiots 0336</t>
  </si>
  <si>
    <t>Dangal 0337</t>
  </si>
  <si>
    <t>RRR 0338</t>
  </si>
  <si>
    <t>Joker 0339</t>
  </si>
  <si>
    <t>Titanic 0340</t>
  </si>
  <si>
    <t>Avatar 0341</t>
  </si>
  <si>
    <t>The Godfather 0342</t>
  </si>
  <si>
    <t>Toy Story 0343</t>
  </si>
  <si>
    <t>Coco 0344</t>
  </si>
  <si>
    <t>Frozen 0345</t>
  </si>
  <si>
    <t>Black Panther 0346</t>
  </si>
  <si>
    <t>La La Land 0347</t>
  </si>
  <si>
    <t>Get Out 0348</t>
  </si>
  <si>
    <t>A Quiet Place 0349</t>
  </si>
  <si>
    <t>Top Gun: Maverick 0350</t>
  </si>
  <si>
    <t>The Hangover 0351</t>
  </si>
  <si>
    <t>Drishyam 0352</t>
  </si>
  <si>
    <t>Andhadhun 0353</t>
  </si>
  <si>
    <t>Kantara 0354</t>
  </si>
  <si>
    <t>Everything Everywhere All at Once 0355</t>
  </si>
  <si>
    <t>Oppenheimer 0356</t>
  </si>
  <si>
    <t>Barbie 0357</t>
  </si>
  <si>
    <t>Dune: Part Two 0358</t>
  </si>
  <si>
    <t>Inside Out 2 0359</t>
  </si>
  <si>
    <t>Pushpa: The Rise 0360</t>
  </si>
  <si>
    <t>Inception 0361</t>
  </si>
  <si>
    <t>The Dark Knight 0362</t>
  </si>
  <si>
    <t>Interstellar 0363</t>
  </si>
  <si>
    <t>Avengers: Endgame 0364</t>
  </si>
  <si>
    <t>Parasite 0365</t>
  </si>
  <si>
    <t>3 Idiots 0366</t>
  </si>
  <si>
    <t>Dangal 0367</t>
  </si>
  <si>
    <t>RRR 0368</t>
  </si>
  <si>
    <t>Joker 0369</t>
  </si>
  <si>
    <t>Titanic 0370</t>
  </si>
  <si>
    <t>Avatar 0371</t>
  </si>
  <si>
    <t>The Godfather 0372</t>
  </si>
  <si>
    <t>Toy Story 0373</t>
  </si>
  <si>
    <t>Coco 0374</t>
  </si>
  <si>
    <t>Frozen 0375</t>
  </si>
  <si>
    <t>Black Panther 0376</t>
  </si>
  <si>
    <t>La La Land 0377</t>
  </si>
  <si>
    <t>Get Out 0378</t>
  </si>
  <si>
    <t>A Quiet Place 0379</t>
  </si>
  <si>
    <t>Top Gun: Maverick 0380</t>
  </si>
  <si>
    <t>The Hangover 0381</t>
  </si>
  <si>
    <t>Drishyam 0382</t>
  </si>
  <si>
    <t>Andhadhun 0383</t>
  </si>
  <si>
    <t>Kantara 0384</t>
  </si>
  <si>
    <t>Everything Everywhere All at Once 0385</t>
  </si>
  <si>
    <t>Oppenheimer 0386</t>
  </si>
  <si>
    <t>Barbie 0387</t>
  </si>
  <si>
    <t>Dune: Part Two 0388</t>
  </si>
  <si>
    <t>Inside Out 2 0389</t>
  </si>
  <si>
    <t>Pushpa: The Rise 0390</t>
  </si>
  <si>
    <t>Inception 0391</t>
  </si>
  <si>
    <t>The Dark Knight 0392</t>
  </si>
  <si>
    <t>Interstellar 0393</t>
  </si>
  <si>
    <t>Avengers: Endgame 0394</t>
  </si>
  <si>
    <t>Parasite 0395</t>
  </si>
  <si>
    <t>3 Idiots 0396</t>
  </si>
  <si>
    <t>Dangal 0397</t>
  </si>
  <si>
    <t>RRR 0398</t>
  </si>
  <si>
    <t>Joker 0399</t>
  </si>
  <si>
    <t>Titanic 0400</t>
  </si>
  <si>
    <t>Avatar 0401</t>
  </si>
  <si>
    <t>The Godfather 0402</t>
  </si>
  <si>
    <t>Toy Story 0403</t>
  </si>
  <si>
    <t>Coco 0404</t>
  </si>
  <si>
    <t>Frozen 0405</t>
  </si>
  <si>
    <t>Black Panther 0406</t>
  </si>
  <si>
    <t>La La Land 0407</t>
  </si>
  <si>
    <t>Get Out 0408</t>
  </si>
  <si>
    <t>A Quiet Place 0409</t>
  </si>
  <si>
    <t>Top Gun: Maverick 0410</t>
  </si>
  <si>
    <t>The Hangover 0411</t>
  </si>
  <si>
    <t>Drishyam 0412</t>
  </si>
  <si>
    <t>Andhadhun 0413</t>
  </si>
  <si>
    <t>Kantara 0414</t>
  </si>
  <si>
    <t>Everything Everywhere All at Once 0415</t>
  </si>
  <si>
    <t>Oppenheimer 0416</t>
  </si>
  <si>
    <t>Barbie 0417</t>
  </si>
  <si>
    <t>Dune: Part Two 0418</t>
  </si>
  <si>
    <t>Inside Out 2 0419</t>
  </si>
  <si>
    <t>Pushpa: The Rise 0420</t>
  </si>
  <si>
    <t>Inception 0421</t>
  </si>
  <si>
    <t>The Dark Knight 0422</t>
  </si>
  <si>
    <t>Interstellar 0423</t>
  </si>
  <si>
    <t>Avengers: Endgame 0424</t>
  </si>
  <si>
    <t>Parasite 0425</t>
  </si>
  <si>
    <t>3 Idiots 0426</t>
  </si>
  <si>
    <t>Dangal 0427</t>
  </si>
  <si>
    <t>RRR 0428</t>
  </si>
  <si>
    <t>Joker 0429</t>
  </si>
  <si>
    <t>Titanic 0430</t>
  </si>
  <si>
    <t>Avatar 0431</t>
  </si>
  <si>
    <t>The Godfather 0432</t>
  </si>
  <si>
    <t>Toy Story 0433</t>
  </si>
  <si>
    <t>Coco 0434</t>
  </si>
  <si>
    <t>Frozen 0435</t>
  </si>
  <si>
    <t>Black Panther 0436</t>
  </si>
  <si>
    <t>La La Land 0437</t>
  </si>
  <si>
    <t>Get Out 0438</t>
  </si>
  <si>
    <t>A Quiet Place 0439</t>
  </si>
  <si>
    <t>Top Gun: Maverick 0440</t>
  </si>
  <si>
    <t>The Hangover 0441</t>
  </si>
  <si>
    <t>Drishyam 0442</t>
  </si>
  <si>
    <t>Andhadhun 0443</t>
  </si>
  <si>
    <t>Kantara 0444</t>
  </si>
  <si>
    <t>Everything Everywhere All at Once 0445</t>
  </si>
  <si>
    <t>Oppenheimer 0446</t>
  </si>
  <si>
    <t>Barbie 0447</t>
  </si>
  <si>
    <t>Dune: Part Two 0448</t>
  </si>
  <si>
    <t>Inside Out 2 0449</t>
  </si>
  <si>
    <t>Pushpa: The Rise 0450</t>
  </si>
  <si>
    <t>Inception 0451</t>
  </si>
  <si>
    <t>The Dark Knight 0452</t>
  </si>
  <si>
    <t>Interstellar 0453</t>
  </si>
  <si>
    <t>Avengers: Endgame 0454</t>
  </si>
  <si>
    <t>Parasite 0455</t>
  </si>
  <si>
    <t>3 Idiots 0456</t>
  </si>
  <si>
    <t>Dangal 0457</t>
  </si>
  <si>
    <t>RRR 0458</t>
  </si>
  <si>
    <t>Joker 0459</t>
  </si>
  <si>
    <t>Titanic 0460</t>
  </si>
  <si>
    <t>Avatar 0461</t>
  </si>
  <si>
    <t>The Godfather 0462</t>
  </si>
  <si>
    <t>Toy Story 0463</t>
  </si>
  <si>
    <t>Coco 0464</t>
  </si>
  <si>
    <t>Frozen 0465</t>
  </si>
  <si>
    <t>Black Panther 0466</t>
  </si>
  <si>
    <t>La La Land 0467</t>
  </si>
  <si>
    <t>Get Out 0468</t>
  </si>
  <si>
    <t>A Quiet Place 0469</t>
  </si>
  <si>
    <t>Top Gun: Maverick 0470</t>
  </si>
  <si>
    <t>The Hangover 0471</t>
  </si>
  <si>
    <t>Drishyam 0472</t>
  </si>
  <si>
    <t>Andhadhun 0473</t>
  </si>
  <si>
    <t>Kantara 0474</t>
  </si>
  <si>
    <t>Everything Everywhere All at Once 0475</t>
  </si>
  <si>
    <t>Oppenheimer 0476</t>
  </si>
  <si>
    <t>Barbie 0477</t>
  </si>
  <si>
    <t>Dune: Part Two 0478</t>
  </si>
  <si>
    <t>Inside Out 2 0479</t>
  </si>
  <si>
    <t>Pushpa: The Rise 0480</t>
  </si>
  <si>
    <t>Inception 0481</t>
  </si>
  <si>
    <t>The Dark Knight 0482</t>
  </si>
  <si>
    <t>Interstellar 0483</t>
  </si>
  <si>
    <t>Avengers: Endgame 0484</t>
  </si>
  <si>
    <t>Parasite 0485</t>
  </si>
  <si>
    <t>3 Idiots 0486</t>
  </si>
  <si>
    <t>Dangal 0487</t>
  </si>
  <si>
    <t>RRR 0488</t>
  </si>
  <si>
    <t>Joker 0489</t>
  </si>
  <si>
    <t>Titanic 0490</t>
  </si>
  <si>
    <t>Avatar 0491</t>
  </si>
  <si>
    <t>The Godfather 0492</t>
  </si>
  <si>
    <t>Toy Story 0493</t>
  </si>
  <si>
    <t>Coco 0494</t>
  </si>
  <si>
    <t>Frozen 0495</t>
  </si>
  <si>
    <t>Black Panther 0496</t>
  </si>
  <si>
    <t>La La Land 0497</t>
  </si>
  <si>
    <t>Get Out 0498</t>
  </si>
  <si>
    <t>A Quiet Place 0499</t>
  </si>
  <si>
    <t>Top Gun: Maverick 0500</t>
  </si>
  <si>
    <t>The Hangover 0501</t>
  </si>
  <si>
    <t>Drishyam 0502</t>
  </si>
  <si>
    <t>Andhadhun 0503</t>
  </si>
  <si>
    <t>Kantara 0504</t>
  </si>
  <si>
    <t>Everything Everywhere All at Once 0505</t>
  </si>
  <si>
    <t>Oppenheimer 0506</t>
  </si>
  <si>
    <t>Barbie 0507</t>
  </si>
  <si>
    <t>Dune: Part Two 0508</t>
  </si>
  <si>
    <t>Inside Out 2 0509</t>
  </si>
  <si>
    <t>Pushpa: The Rise 0510</t>
  </si>
  <si>
    <t>Inception 0511</t>
  </si>
  <si>
    <t>The Dark Knight 0512</t>
  </si>
  <si>
    <t>Interstellar 0513</t>
  </si>
  <si>
    <t>Avengers: Endgame 0514</t>
  </si>
  <si>
    <t>Parasite 0515</t>
  </si>
  <si>
    <t>3 Idiots 0516</t>
  </si>
  <si>
    <t>Dangal 0517</t>
  </si>
  <si>
    <t>RRR 0518</t>
  </si>
  <si>
    <t>Joker 0519</t>
  </si>
  <si>
    <t>Titanic 0520</t>
  </si>
  <si>
    <t>Avatar 0521</t>
  </si>
  <si>
    <t>The Godfather 0522</t>
  </si>
  <si>
    <t>Toy Story 0523</t>
  </si>
  <si>
    <t>Coco 0524</t>
  </si>
  <si>
    <t>Frozen 0525</t>
  </si>
  <si>
    <t>Black Panther 0526</t>
  </si>
  <si>
    <t>La La Land 0527</t>
  </si>
  <si>
    <t>Get Out 0528</t>
  </si>
  <si>
    <t>A Quiet Place 0529</t>
  </si>
  <si>
    <t>Top Gun: Maverick 0530</t>
  </si>
  <si>
    <t>The Hangover 0531</t>
  </si>
  <si>
    <t>Drishyam 0532</t>
  </si>
  <si>
    <t>Andhadhun 0533</t>
  </si>
  <si>
    <t>Kantara 0534</t>
  </si>
  <si>
    <t>Everything Everywhere All at Once 0535</t>
  </si>
  <si>
    <t>Oppenheimer 0536</t>
  </si>
  <si>
    <t>Barbie 0537</t>
  </si>
  <si>
    <t>Dune: Part Two 0538</t>
  </si>
  <si>
    <t>Inside Out 2 0539</t>
  </si>
  <si>
    <t>Pushpa: The Rise 0540</t>
  </si>
  <si>
    <t>Inception 0541</t>
  </si>
  <si>
    <t>The Dark Knight 0542</t>
  </si>
  <si>
    <t>Interstellar 0543</t>
  </si>
  <si>
    <t>Avengers: Endgame 0544</t>
  </si>
  <si>
    <t>Parasite 0545</t>
  </si>
  <si>
    <t>3 Idiots 0546</t>
  </si>
  <si>
    <t>Dangal 0547</t>
  </si>
  <si>
    <t>RRR 0548</t>
  </si>
  <si>
    <t>Joker 0549</t>
  </si>
  <si>
    <t>Titanic 0550</t>
  </si>
  <si>
    <t>Avatar 0551</t>
  </si>
  <si>
    <t>The Godfather 0552</t>
  </si>
  <si>
    <t>Toy Story 0553</t>
  </si>
  <si>
    <t>Coco 0554</t>
  </si>
  <si>
    <t>Frozen 0555</t>
  </si>
  <si>
    <t>Black Panther 0556</t>
  </si>
  <si>
    <t>La La Land 0557</t>
  </si>
  <si>
    <t>Get Out 0558</t>
  </si>
  <si>
    <t>A Quiet Place 0559</t>
  </si>
  <si>
    <t>Top Gun: Maverick 0560</t>
  </si>
  <si>
    <t>The Hangover 0561</t>
  </si>
  <si>
    <t>Drishyam 0562</t>
  </si>
  <si>
    <t>Andhadhun 0563</t>
  </si>
  <si>
    <t>Kantara 0564</t>
  </si>
  <si>
    <t>Everything Everywhere All at Once 0565</t>
  </si>
  <si>
    <t>Oppenheimer 0566</t>
  </si>
  <si>
    <t>Barbie 0567</t>
  </si>
  <si>
    <t>Dune: Part Two 0568</t>
  </si>
  <si>
    <t>Inside Out 2 0569</t>
  </si>
  <si>
    <t>Pushpa: The Rise 0570</t>
  </si>
  <si>
    <t>Inception 0571</t>
  </si>
  <si>
    <t>The Dark Knight 0572</t>
  </si>
  <si>
    <t>Interstellar 0573</t>
  </si>
  <si>
    <t>Avengers: Endgame 0574</t>
  </si>
  <si>
    <t>Parasite 0575</t>
  </si>
  <si>
    <t>3 Idiots 0576</t>
  </si>
  <si>
    <t>Dangal 0577</t>
  </si>
  <si>
    <t>RRR 0578</t>
  </si>
  <si>
    <t>Joker 0579</t>
  </si>
  <si>
    <t>Titanic 0580</t>
  </si>
  <si>
    <t>Avatar 0581</t>
  </si>
  <si>
    <t>The Godfather 0582</t>
  </si>
  <si>
    <t>Toy Story 0583</t>
  </si>
  <si>
    <t>Coco 0584</t>
  </si>
  <si>
    <t>Frozen 0585</t>
  </si>
  <si>
    <t>Black Panther 0586</t>
  </si>
  <si>
    <t>La La Land 0587</t>
  </si>
  <si>
    <t>Get Out 0588</t>
  </si>
  <si>
    <t>A Quiet Place 0589</t>
  </si>
  <si>
    <t>Top Gun: Maverick 0590</t>
  </si>
  <si>
    <t>The Hangover 0591</t>
  </si>
  <si>
    <t>Drishyam 0592</t>
  </si>
  <si>
    <t>Andhadhun 0593</t>
  </si>
  <si>
    <t>Kantara 0594</t>
  </si>
  <si>
    <t>Everything Everywhere All at Once 0595</t>
  </si>
  <si>
    <t>Oppenheimer 0596</t>
  </si>
  <si>
    <t>Barbie 0597</t>
  </si>
  <si>
    <t>Dune: Part Two 0598</t>
  </si>
  <si>
    <t>Inside Out 2 0599</t>
  </si>
  <si>
    <t>Pushpa: The Rise 0600</t>
  </si>
  <si>
    <t>Inception 0601</t>
  </si>
  <si>
    <t>The Dark Knight 0602</t>
  </si>
  <si>
    <t>Interstellar 0603</t>
  </si>
  <si>
    <t>Avengers: Endgame 0604</t>
  </si>
  <si>
    <t>Parasite 0605</t>
  </si>
  <si>
    <t>3 Idiots 0606</t>
  </si>
  <si>
    <t>Dangal 0607</t>
  </si>
  <si>
    <t>RRR 0608</t>
  </si>
  <si>
    <t>Joker 0609</t>
  </si>
  <si>
    <t>Titanic 0610</t>
  </si>
  <si>
    <t>Avatar 0611</t>
  </si>
  <si>
    <t>The Godfather 0612</t>
  </si>
  <si>
    <t>Toy Story 0613</t>
  </si>
  <si>
    <t>Coco 0614</t>
  </si>
  <si>
    <t>Frozen 0615</t>
  </si>
  <si>
    <t>Black Panther 0616</t>
  </si>
  <si>
    <t>La La Land 0617</t>
  </si>
  <si>
    <t>Get Out 0618</t>
  </si>
  <si>
    <t>A Quiet Place 0619</t>
  </si>
  <si>
    <t>Top Gun: Maverick 0620</t>
  </si>
  <si>
    <t>The Hangover 0621</t>
  </si>
  <si>
    <t>Drishyam 0622</t>
  </si>
  <si>
    <t>Andhadhun 0623</t>
  </si>
  <si>
    <t>Kantara 0624</t>
  </si>
  <si>
    <t>Everything Everywhere All at Once 0625</t>
  </si>
  <si>
    <t>Oppenheimer 0626</t>
  </si>
  <si>
    <t>Barbie 0627</t>
  </si>
  <si>
    <t>Dune: Part Two 0628</t>
  </si>
  <si>
    <t>Inside Out 2 0629</t>
  </si>
  <si>
    <t>Pushpa: The Rise 0630</t>
  </si>
  <si>
    <t>Inception 0631</t>
  </si>
  <si>
    <t>The Dark Knight 0632</t>
  </si>
  <si>
    <t>Interstellar 0633</t>
  </si>
  <si>
    <t>Avengers: Endgame 0634</t>
  </si>
  <si>
    <t>Parasite 0635</t>
  </si>
  <si>
    <t>3 Idiots 0636</t>
  </si>
  <si>
    <t>Dangal 0637</t>
  </si>
  <si>
    <t>RRR 0638</t>
  </si>
  <si>
    <t>Joker 0639</t>
  </si>
  <si>
    <t>Titanic 0640</t>
  </si>
  <si>
    <t>Avatar 0641</t>
  </si>
  <si>
    <t>The Godfather 0642</t>
  </si>
  <si>
    <t>Toy Story 0643</t>
  </si>
  <si>
    <t>Coco 0644</t>
  </si>
  <si>
    <t>Frozen 0645</t>
  </si>
  <si>
    <t>Black Panther 0646</t>
  </si>
  <si>
    <t>La La Land 0647</t>
  </si>
  <si>
    <t>Get Out 0648</t>
  </si>
  <si>
    <t>A Quiet Place 0649</t>
  </si>
  <si>
    <t>Top Gun: Maverick 0650</t>
  </si>
  <si>
    <t>The Hangover 0651</t>
  </si>
  <si>
    <t>Drishyam 0652</t>
  </si>
  <si>
    <t>Andhadhun 0653</t>
  </si>
  <si>
    <t>Kantara 0654</t>
  </si>
  <si>
    <t>Everything Everywhere All at Once 0655</t>
  </si>
  <si>
    <t>Oppenheimer 0656</t>
  </si>
  <si>
    <t>Barbie 0657</t>
  </si>
  <si>
    <t>Dune: Part Two 0658</t>
  </si>
  <si>
    <t>Inside Out 2 0659</t>
  </si>
  <si>
    <t>Pushpa: The Rise 0660</t>
  </si>
  <si>
    <t>Inception 0661</t>
  </si>
  <si>
    <t>The Dark Knight 0662</t>
  </si>
  <si>
    <t>Interstellar 0663</t>
  </si>
  <si>
    <t>Avengers: Endgame 0664</t>
  </si>
  <si>
    <t>Parasite 0665</t>
  </si>
  <si>
    <t>3 Idiots 0666</t>
  </si>
  <si>
    <t>Dangal 0667</t>
  </si>
  <si>
    <t>RRR 0668</t>
  </si>
  <si>
    <t>Joker 0669</t>
  </si>
  <si>
    <t>Titanic 0670</t>
  </si>
  <si>
    <t>Avatar 0671</t>
  </si>
  <si>
    <t>The Godfather 0672</t>
  </si>
  <si>
    <t>Toy Story 0673</t>
  </si>
  <si>
    <t>Coco 0674</t>
  </si>
  <si>
    <t>Frozen 0675</t>
  </si>
  <si>
    <t>Black Panther 0676</t>
  </si>
  <si>
    <t>La La Land 0677</t>
  </si>
  <si>
    <t>Get Out 0678</t>
  </si>
  <si>
    <t>A Quiet Place 0679</t>
  </si>
  <si>
    <t>Top Gun: Maverick 0680</t>
  </si>
  <si>
    <t>The Hangover 0681</t>
  </si>
  <si>
    <t>Drishyam 0682</t>
  </si>
  <si>
    <t>Andhadhun 0683</t>
  </si>
  <si>
    <t>Kantara 0684</t>
  </si>
  <si>
    <t>Everything Everywhere All at Once 0685</t>
  </si>
  <si>
    <t>Oppenheimer 0686</t>
  </si>
  <si>
    <t>Barbie 0687</t>
  </si>
  <si>
    <t>Dune: Part Two 0688</t>
  </si>
  <si>
    <t>Inside Out 2 0689</t>
  </si>
  <si>
    <t>Pushpa: The Rise 0690</t>
  </si>
  <si>
    <t>Inception 0691</t>
  </si>
  <si>
    <t>The Dark Knight 0692</t>
  </si>
  <si>
    <t>Interstellar 0693</t>
  </si>
  <si>
    <t>Avengers: Endgame 0694</t>
  </si>
  <si>
    <t>Parasite 0695</t>
  </si>
  <si>
    <t>3 Idiots 0696</t>
  </si>
  <si>
    <t>Dangal 0697</t>
  </si>
  <si>
    <t>RRR 0698</t>
  </si>
  <si>
    <t>Joker 0699</t>
  </si>
  <si>
    <t>Titanic 0700</t>
  </si>
  <si>
    <t>Avatar 0701</t>
  </si>
  <si>
    <t>The Godfather 0702</t>
  </si>
  <si>
    <t>Toy Story 0703</t>
  </si>
  <si>
    <t>Coco 0704</t>
  </si>
  <si>
    <t>Frozen 0705</t>
  </si>
  <si>
    <t>Black Panther 0706</t>
  </si>
  <si>
    <t>La La Land 0707</t>
  </si>
  <si>
    <t>Get Out 0708</t>
  </si>
  <si>
    <t>A Quiet Place 0709</t>
  </si>
  <si>
    <t>Top Gun: Maverick 0710</t>
  </si>
  <si>
    <t>The Hangover 0711</t>
  </si>
  <si>
    <t>Drishyam 0712</t>
  </si>
  <si>
    <t>Andhadhun 0713</t>
  </si>
  <si>
    <t>Kantara 0714</t>
  </si>
  <si>
    <t>Everything Everywhere All at Once 0715</t>
  </si>
  <si>
    <t>Oppenheimer 0716</t>
  </si>
  <si>
    <t>Barbie 0717</t>
  </si>
  <si>
    <t>Dune: Part Two 0718</t>
  </si>
  <si>
    <t>Inside Out 2 0719</t>
  </si>
  <si>
    <t>Pushpa: The Rise 0720</t>
  </si>
  <si>
    <t>Inception 0721</t>
  </si>
  <si>
    <t>The Dark Knight 0722</t>
  </si>
  <si>
    <t>Interstellar 0723</t>
  </si>
  <si>
    <t>Avengers: Endgame 0724</t>
  </si>
  <si>
    <t>Parasite 0725</t>
  </si>
  <si>
    <t>3 Idiots 0726</t>
  </si>
  <si>
    <t>Dangal 0727</t>
  </si>
  <si>
    <t>RRR 0728</t>
  </si>
  <si>
    <t>Joker 0729</t>
  </si>
  <si>
    <t>Titanic 0730</t>
  </si>
  <si>
    <t>Avatar 0731</t>
  </si>
  <si>
    <t>The Godfather 0732</t>
  </si>
  <si>
    <t>Toy Story 0733</t>
  </si>
  <si>
    <t>Coco 0734</t>
  </si>
  <si>
    <t>Frozen 0735</t>
  </si>
  <si>
    <t>Black Panther 0736</t>
  </si>
  <si>
    <t>La La Land 0737</t>
  </si>
  <si>
    <t>Get Out 0738</t>
  </si>
  <si>
    <t>A Quiet Place 0739</t>
  </si>
  <si>
    <t>Top Gun: Maverick 0740</t>
  </si>
  <si>
    <t>The Hangover 0741</t>
  </si>
  <si>
    <t>Drishyam 0742</t>
  </si>
  <si>
    <t>Andhadhun 0743</t>
  </si>
  <si>
    <t>Kantara 0744</t>
  </si>
  <si>
    <t>Everything Everywhere All at Once 0745</t>
  </si>
  <si>
    <t>Oppenheimer 0746</t>
  </si>
  <si>
    <t>Barbie 0747</t>
  </si>
  <si>
    <t>Dune: Part Two 0748</t>
  </si>
  <si>
    <t>Inside Out 2 0749</t>
  </si>
  <si>
    <t>Pushpa: The Rise 0750</t>
  </si>
  <si>
    <t>Inception 0751</t>
  </si>
  <si>
    <t>The Dark Knight 0752</t>
  </si>
  <si>
    <t>Interstellar 0753</t>
  </si>
  <si>
    <t>Avengers: Endgame 0754</t>
  </si>
  <si>
    <t>Parasite 0755</t>
  </si>
  <si>
    <t>3 Idiots 0756</t>
  </si>
  <si>
    <t>Dangal 0757</t>
  </si>
  <si>
    <t>RRR 0758</t>
  </si>
  <si>
    <t>Joker 0759</t>
  </si>
  <si>
    <t>Titanic 0760</t>
  </si>
  <si>
    <t>Avatar 0761</t>
  </si>
  <si>
    <t>The Godfather 0762</t>
  </si>
  <si>
    <t>Toy Story 0763</t>
  </si>
  <si>
    <t>Coco 0764</t>
  </si>
  <si>
    <t>Frozen 0765</t>
  </si>
  <si>
    <t>Black Panther 0766</t>
  </si>
  <si>
    <t>La La Land 0767</t>
  </si>
  <si>
    <t>Get Out 0768</t>
  </si>
  <si>
    <t>A Quiet Place 0769</t>
  </si>
  <si>
    <t>Top Gun: Maverick 0770</t>
  </si>
  <si>
    <t>The Hangover 0771</t>
  </si>
  <si>
    <t>Drishyam 0772</t>
  </si>
  <si>
    <t>Andhadhun 0773</t>
  </si>
  <si>
    <t>Kantara 0774</t>
  </si>
  <si>
    <t>Everything Everywhere All at Once 0775</t>
  </si>
  <si>
    <t>Oppenheimer 0776</t>
  </si>
  <si>
    <t>Barbie 0777</t>
  </si>
  <si>
    <t>Dune: Part Two 0778</t>
  </si>
  <si>
    <t>Inside Out 2 0779</t>
  </si>
  <si>
    <t>Pushpa: The Rise 0780</t>
  </si>
  <si>
    <t>Inception 0781</t>
  </si>
  <si>
    <t>The Dark Knight 0782</t>
  </si>
  <si>
    <t>Interstellar 0783</t>
  </si>
  <si>
    <t>Avengers: Endgame 0784</t>
  </si>
  <si>
    <t>Parasite 0785</t>
  </si>
  <si>
    <t>3 Idiots 0786</t>
  </si>
  <si>
    <t>Dangal 0787</t>
  </si>
  <si>
    <t>RRR 0788</t>
  </si>
  <si>
    <t>Joker 0789</t>
  </si>
  <si>
    <t>Titanic 0790</t>
  </si>
  <si>
    <t>Avatar 0791</t>
  </si>
  <si>
    <t>The Godfather 0792</t>
  </si>
  <si>
    <t>Toy Story 0793</t>
  </si>
  <si>
    <t>Coco 0794</t>
  </si>
  <si>
    <t>Frozen 0795</t>
  </si>
  <si>
    <t>Black Panther 0796</t>
  </si>
  <si>
    <t>La La Land 0797</t>
  </si>
  <si>
    <t>Get Out 0798</t>
  </si>
  <si>
    <t>A Quiet Place 0799</t>
  </si>
  <si>
    <t>Top Gun: Maverick 0800</t>
  </si>
  <si>
    <t>The Hangover 0801</t>
  </si>
  <si>
    <t>Drishyam 0802</t>
  </si>
  <si>
    <t>Andhadhun 0803</t>
  </si>
  <si>
    <t>Kantara 0804</t>
  </si>
  <si>
    <t>Everything Everywhere All at Once 0805</t>
  </si>
  <si>
    <t>Oppenheimer 0806</t>
  </si>
  <si>
    <t>Barbie 0807</t>
  </si>
  <si>
    <t>Dune: Part Two 0808</t>
  </si>
  <si>
    <t>Inside Out 2 0809</t>
  </si>
  <si>
    <t>Pushpa: The Rise 0810</t>
  </si>
  <si>
    <t>Inception 0811</t>
  </si>
  <si>
    <t>The Dark Knight 0812</t>
  </si>
  <si>
    <t>Interstellar 0813</t>
  </si>
  <si>
    <t>Avengers: Endgame 0814</t>
  </si>
  <si>
    <t>Parasite 0815</t>
  </si>
  <si>
    <t>3 Idiots 0816</t>
  </si>
  <si>
    <t>Dangal 0817</t>
  </si>
  <si>
    <t>RRR 0818</t>
  </si>
  <si>
    <t>Joker 0819</t>
  </si>
  <si>
    <t>Titanic 0820</t>
  </si>
  <si>
    <t>Avatar 0821</t>
  </si>
  <si>
    <t>The Godfather 0822</t>
  </si>
  <si>
    <t>Toy Story 0823</t>
  </si>
  <si>
    <t>Coco 0824</t>
  </si>
  <si>
    <t>Frozen 0825</t>
  </si>
  <si>
    <t>Black Panther 0826</t>
  </si>
  <si>
    <t>La La Land 0827</t>
  </si>
  <si>
    <t>Get Out 0828</t>
  </si>
  <si>
    <t>A Quiet Place 0829</t>
  </si>
  <si>
    <t>Top Gun: Maverick 0830</t>
  </si>
  <si>
    <t>The Hangover 0831</t>
  </si>
  <si>
    <t>Drishyam 0832</t>
  </si>
  <si>
    <t>Andhadhun 0833</t>
  </si>
  <si>
    <t>Kantara 0834</t>
  </si>
  <si>
    <t>Everything Everywhere All at Once 0835</t>
  </si>
  <si>
    <t>Oppenheimer 0836</t>
  </si>
  <si>
    <t>Barbie 0837</t>
  </si>
  <si>
    <t>Dune: Part Two 0838</t>
  </si>
  <si>
    <t>Inside Out 2 0839</t>
  </si>
  <si>
    <t>Pushpa: The Rise 0840</t>
  </si>
  <si>
    <t>Inception 0841</t>
  </si>
  <si>
    <t>The Dark Knight 0842</t>
  </si>
  <si>
    <t>Interstellar 0843</t>
  </si>
  <si>
    <t>Avengers: Endgame 0844</t>
  </si>
  <si>
    <t>Parasite 0845</t>
  </si>
  <si>
    <t>3 Idiots 0846</t>
  </si>
  <si>
    <t>Dangal 0847</t>
  </si>
  <si>
    <t>RRR 0848</t>
  </si>
  <si>
    <t>Joker 0849</t>
  </si>
  <si>
    <t>Titanic 0850</t>
  </si>
  <si>
    <t>Avatar 0851</t>
  </si>
  <si>
    <t>The Godfather 0852</t>
  </si>
  <si>
    <t>Toy Story 0853</t>
  </si>
  <si>
    <t>Coco 0854</t>
  </si>
  <si>
    <t>Frozen 0855</t>
  </si>
  <si>
    <t>Black Panther 0856</t>
  </si>
  <si>
    <t>La La Land 0857</t>
  </si>
  <si>
    <t>Get Out 0858</t>
  </si>
  <si>
    <t>A Quiet Place 0859</t>
  </si>
  <si>
    <t>Top Gun: Maverick 0860</t>
  </si>
  <si>
    <t>The Hangover 0861</t>
  </si>
  <si>
    <t>Drishyam 0862</t>
  </si>
  <si>
    <t>Andhadhun 0863</t>
  </si>
  <si>
    <t>Kantara 0864</t>
  </si>
  <si>
    <t>Everything Everywhere All at Once 0865</t>
  </si>
  <si>
    <t>Oppenheimer 0866</t>
  </si>
  <si>
    <t>Barbie 0867</t>
  </si>
  <si>
    <t>Dune: Part Two 0868</t>
  </si>
  <si>
    <t>Inside Out 2 0869</t>
  </si>
  <si>
    <t>Pushpa: The Rise 0870</t>
  </si>
  <si>
    <t>Inception 0871</t>
  </si>
  <si>
    <t>The Dark Knight 0872</t>
  </si>
  <si>
    <t>Interstellar 0873</t>
  </si>
  <si>
    <t>Avengers: Endgame 0874</t>
  </si>
  <si>
    <t>Parasite 0875</t>
  </si>
  <si>
    <t>3 Idiots 0876</t>
  </si>
  <si>
    <t>Dangal 0877</t>
  </si>
  <si>
    <t>RRR 0878</t>
  </si>
  <si>
    <t>Joker 0879</t>
  </si>
  <si>
    <t>Titanic 0880</t>
  </si>
  <si>
    <t>Avatar 0881</t>
  </si>
  <si>
    <t>The Godfather 0882</t>
  </si>
  <si>
    <t>Toy Story 0883</t>
  </si>
  <si>
    <t>Coco 0884</t>
  </si>
  <si>
    <t>Frozen 0885</t>
  </si>
  <si>
    <t>Black Panther 0886</t>
  </si>
  <si>
    <t>La La Land 0887</t>
  </si>
  <si>
    <t>Get Out 0888</t>
  </si>
  <si>
    <t>A Quiet Place 0889</t>
  </si>
  <si>
    <t>Top Gun: Maverick 0890</t>
  </si>
  <si>
    <t>The Hangover 0891</t>
  </si>
  <si>
    <t>Drishyam 0892</t>
  </si>
  <si>
    <t>Andhadhun 0893</t>
  </si>
  <si>
    <t>Kantara 0894</t>
  </si>
  <si>
    <t>Everything Everywhere All at Once 0895</t>
  </si>
  <si>
    <t>Oppenheimer 0896</t>
  </si>
  <si>
    <t>Barbie 0897</t>
  </si>
  <si>
    <t>Dune: Part Two 0898</t>
  </si>
  <si>
    <t>Inside Out 2 0899</t>
  </si>
  <si>
    <t>Pushpa: The Rise 0900</t>
  </si>
  <si>
    <t>Inception 0901</t>
  </si>
  <si>
    <t>The Dark Knight 0902</t>
  </si>
  <si>
    <t>Interstellar 0903</t>
  </si>
  <si>
    <t>Avengers: Endgame 0904</t>
  </si>
  <si>
    <t>Parasite 0905</t>
  </si>
  <si>
    <t>3 Idiots 0906</t>
  </si>
  <si>
    <t>Dangal 0907</t>
  </si>
  <si>
    <t>RRR 0908</t>
  </si>
  <si>
    <t>Joker 0909</t>
  </si>
  <si>
    <t>Titanic 0910</t>
  </si>
  <si>
    <t>Avatar 0911</t>
  </si>
  <si>
    <t>The Godfather 0912</t>
  </si>
  <si>
    <t>Toy Story 0913</t>
  </si>
  <si>
    <t>Coco 0914</t>
  </si>
  <si>
    <t>Frozen 0915</t>
  </si>
  <si>
    <t>Black Panther 0916</t>
  </si>
  <si>
    <t>La La Land 0917</t>
  </si>
  <si>
    <t>Get Out 0918</t>
  </si>
  <si>
    <t>A Quiet Place 0919</t>
  </si>
  <si>
    <t>Top Gun: Maverick 0920</t>
  </si>
  <si>
    <t>The Hangover 0921</t>
  </si>
  <si>
    <t>Drishyam 0922</t>
  </si>
  <si>
    <t>Andhadhun 0923</t>
  </si>
  <si>
    <t>Kantara 0924</t>
  </si>
  <si>
    <t>Everything Everywhere All at Once 0925</t>
  </si>
  <si>
    <t>Oppenheimer 0926</t>
  </si>
  <si>
    <t>Barbie 0927</t>
  </si>
  <si>
    <t>Dune: Part Two 0928</t>
  </si>
  <si>
    <t>Inside Out 2 0929</t>
  </si>
  <si>
    <t>Pushpa: The Rise 0930</t>
  </si>
  <si>
    <t>Inception 0931</t>
  </si>
  <si>
    <t>The Dark Knight 0932</t>
  </si>
  <si>
    <t>Interstellar 0933</t>
  </si>
  <si>
    <t>Avengers: Endgame 0934</t>
  </si>
  <si>
    <t>Parasite 0935</t>
  </si>
  <si>
    <t>3 Idiots 0936</t>
  </si>
  <si>
    <t>Dangal 0937</t>
  </si>
  <si>
    <t>RRR 0938</t>
  </si>
  <si>
    <t>Joker 0939</t>
  </si>
  <si>
    <t>Titanic 0940</t>
  </si>
  <si>
    <t>Avatar 0941</t>
  </si>
  <si>
    <t>The Godfather 0942</t>
  </si>
  <si>
    <t>Toy Story 0943</t>
  </si>
  <si>
    <t>Coco 0944</t>
  </si>
  <si>
    <t>Frozen 0945</t>
  </si>
  <si>
    <t>Black Panther 0946</t>
  </si>
  <si>
    <t>La La Land 0947</t>
  </si>
  <si>
    <t>Get Out 0948</t>
  </si>
  <si>
    <t>A Quiet Place 0949</t>
  </si>
  <si>
    <t>Top Gun: Maverick 0950</t>
  </si>
  <si>
    <t>The Hangover 0951</t>
  </si>
  <si>
    <t>Drishyam 0952</t>
  </si>
  <si>
    <t>Andhadhun 0953</t>
  </si>
  <si>
    <t>Kantara 0954</t>
  </si>
  <si>
    <t>Everything Everywhere All at Once 0955</t>
  </si>
  <si>
    <t>Oppenheimer 0956</t>
  </si>
  <si>
    <t>Barbie 0957</t>
  </si>
  <si>
    <t>Dune: Part Two 0958</t>
  </si>
  <si>
    <t>Inside Out 2 0959</t>
  </si>
  <si>
    <t>Pushpa: The Rise 0960</t>
  </si>
  <si>
    <t>Inception 0961</t>
  </si>
  <si>
    <t>The Dark Knight 0962</t>
  </si>
  <si>
    <t>Interstellar 0963</t>
  </si>
  <si>
    <t>Avengers: Endgame 0964</t>
  </si>
  <si>
    <t>Parasite 0965</t>
  </si>
  <si>
    <t>3 Idiots 0966</t>
  </si>
  <si>
    <t>Dangal 0967</t>
  </si>
  <si>
    <t>RRR 0968</t>
  </si>
  <si>
    <t>Joker 0969</t>
  </si>
  <si>
    <t>Titanic 0970</t>
  </si>
  <si>
    <t>Avatar 0971</t>
  </si>
  <si>
    <t>The Godfather 0972</t>
  </si>
  <si>
    <t>Toy Story 0973</t>
  </si>
  <si>
    <t>Coco 0974</t>
  </si>
  <si>
    <t>Frozen 0975</t>
  </si>
  <si>
    <t>Black Panther 0976</t>
  </si>
  <si>
    <t>La La Land 0977</t>
  </si>
  <si>
    <t>Get Out 0978</t>
  </si>
  <si>
    <t>A Quiet Place 0979</t>
  </si>
  <si>
    <t>Top Gun: Maverick 0980</t>
  </si>
  <si>
    <t>The Hangover 0981</t>
  </si>
  <si>
    <t>Drishyam 0982</t>
  </si>
  <si>
    <t>Andhadhun 0983</t>
  </si>
  <si>
    <t>Kantara 0984</t>
  </si>
  <si>
    <t>Everything Everywhere All at Once 0985</t>
  </si>
  <si>
    <t>Oppenheimer 0986</t>
  </si>
  <si>
    <t>Barbie 0987</t>
  </si>
  <si>
    <t>Dune: Part Two 0988</t>
  </si>
  <si>
    <t>Inside Out 2 0989</t>
  </si>
  <si>
    <t>Pushpa: The Rise 0990</t>
  </si>
  <si>
    <t>Inception 0991</t>
  </si>
  <si>
    <t>The Dark Knight 0992</t>
  </si>
  <si>
    <t>Interstellar 0993</t>
  </si>
  <si>
    <t>Avengers: Endgame 0994</t>
  </si>
  <si>
    <t>Parasite 0995</t>
  </si>
  <si>
    <t>3 Idiots 0996</t>
  </si>
  <si>
    <t>Dangal 0997</t>
  </si>
  <si>
    <t>RRR 0998</t>
  </si>
  <si>
    <t>Joker 0999</t>
  </si>
  <si>
    <t>Titanic 1000</t>
  </si>
  <si>
    <t>MOVIE DATA ANALYTICS DASHBOARD</t>
  </si>
  <si>
    <t>Overview of 1,000 movies | Revenue, profit, genre, country, duration and ratings</t>
  </si>
  <si>
    <t>TOTAL MOVIES</t>
  </si>
  <si>
    <t>TOTAL REVENUE</t>
  </si>
  <si>
    <t>TOTAL PROFIT</t>
  </si>
  <si>
    <t>AVG IMDB RATING</t>
  </si>
  <si>
    <t>Key visualizations</t>
  </si>
  <si>
    <t>Data source: Movie_Data | Supporting calculations: Pivot tables</t>
  </si>
  <si>
    <t>Row Labels</t>
  </si>
  <si>
    <t>Count of Movie_ID</t>
  </si>
  <si>
    <t>Sum of Revenue_Million_USD</t>
  </si>
  <si>
    <t>Sum of Profit_Million_USD</t>
  </si>
  <si>
    <t>Movies</t>
  </si>
  <si>
    <t>Duration</t>
  </si>
  <si>
    <t>Average of IMDb_Rating</t>
  </si>
  <si>
    <t>where is value filters option</t>
  </si>
  <si>
    <t>70-99</t>
  </si>
  <si>
    <t>100-129</t>
  </si>
  <si>
    <t>130-159</t>
  </si>
  <si>
    <t>160-189</t>
  </si>
  <si>
    <t>190-219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</si>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</sst>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&quot;%&quot;"/>
    <numFmt numFmtId="166" formatCode="\$#,##0.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2"/>
      <color rgb="FFFFFFFF"/>
      <name val="Calibri"/>
    </font>
    <font>
      <i/>
      <sz val="10"/>
      <color rgb="FF6B7280"/>
      <name val="Calibri"/>
    </font>
    <font>
      <b/>
      <sz val="18"/>
      <color rgb="FF1F2937"/>
      <name val="Calibri"/>
    </font>
    <font>
      <b/>
      <sz val="9"/>
      <color rgb="FF0F766E"/>
      <name val="Calibri"/>
    </font>
    <font>
      <b/>
      <sz val="13"/>
      <color rgb="FF1F2937"/>
      <name val="Calibri"/>
    </font>
    <font>
      <i/>
      <sz val="9"/>
      <color rgb="FF6B72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2937"/>
      </patternFill>
    </fill>
    <fill>
      <patternFill patternType="solid">
        <fgColor rgb="FFF3F4F6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6" fontId="4" fillId="4" borderId="10" xfId="0" applyNumberFormat="1" applyFont="1" applyFill="1" applyBorder="1" applyAlignment="1">
      <alignment horizontal="center" vertical="center"/>
    </xf>
    <xf numFmtId="0" fontId="0" fillId="0" borderId="10" xfId="0" applyBorder="1"/>
    <xf numFmtId="0" fontId="5" fillId="0" borderId="0" xfId="0" applyFont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3" borderId="0" xfId="0" applyFill="1"/>
    <xf numFmtId="1" fontId="4" fillId="4" borderId="10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left" vertical="center"/>
    </xf>
    <xf numFmtId="2" fontId="4" fillId="4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">
    <dxf>
      <numFmt numFmtId="165" formatCode="0.0&quot;%&quot;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</font>
      <fill>
        <patternFill patternType="solid">
          <fgColor indexed="64"/>
          <bgColor rgb="FF1F4E78"/>
        </patternFill>
      </fill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[1.xlsx]Pivot tables!PivotTable8</c:name>
    <c:fmtId val="5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Movies by Duration &amp; Average IMDb Rating</a:t>
            </a:r>
          </a:p>
        </c:rich>
      </c:tx>
      <c:overlay val="1"/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tables'!$O$4</c:f>
              <c:strCache>
                <c:ptCount val="1"/>
                <c:pt idx="0">
                  <c:v>Count of Movie_ID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'Pivot tables'!$N$5:$N$10</c:f>
              <c:strCache>
                <c:ptCount val="5"/>
                <c:pt idx="0">
                  <c:v>70-99</c:v>
                </c:pt>
                <c:pt idx="1">
                  <c:v>100-129</c:v>
                </c:pt>
                <c:pt idx="2">
                  <c:v>130-159</c:v>
                </c:pt>
                <c:pt idx="3">
                  <c:v>160-189</c:v>
                </c:pt>
                <c:pt idx="4">
                  <c:v>190-219</c:v>
                </c:pt>
              </c:strCache>
            </c:strRef>
          </c:cat>
          <c:val>
            <c:numRef>
              <c:f>'Pivot tables'!$O$5:$O$10</c:f>
              <c:numCache>
                <c:formatCode>General</c:formatCode>
                <c:ptCount val="5"/>
                <c:pt idx="0">
                  <c:v>181</c:v>
                </c:pt>
                <c:pt idx="1">
                  <c:v>413</c:v>
                </c:pt>
                <c:pt idx="2">
                  <c:v>331</c:v>
                </c:pt>
                <c:pt idx="3">
                  <c:v>69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3-448B-ABBF-3E0114E3C916}"/>
            </c:ext>
          </c:extLst>
        </c:ser>
        <c:ser>
          <c:idx val="1"/>
          <c:order val="1"/>
          <c:tx>
            <c:strRef>
              <c:f>'Pivot tables'!$P$4</c:f>
              <c:strCache>
                <c:ptCount val="1"/>
                <c:pt idx="0">
                  <c:v>Average of IMDb_Rating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'Pivot tables'!$N$5:$N$10</c:f>
              <c:strCache>
                <c:ptCount val="5"/>
                <c:pt idx="0">
                  <c:v>70-99</c:v>
                </c:pt>
                <c:pt idx="1">
                  <c:v>100-129</c:v>
                </c:pt>
                <c:pt idx="2">
                  <c:v>130-159</c:v>
                </c:pt>
                <c:pt idx="3">
                  <c:v>160-189</c:v>
                </c:pt>
                <c:pt idx="4">
                  <c:v>190-219</c:v>
                </c:pt>
              </c:strCache>
            </c:strRef>
          </c:cat>
          <c:val>
            <c:numRef>
              <c:f>'Pivot tables'!$P$5:$P$10</c:f>
              <c:numCache>
                <c:formatCode>0.0</c:formatCode>
                <c:ptCount val="5"/>
                <c:pt idx="0">
                  <c:v>7.2182320441988992</c:v>
                </c:pt>
                <c:pt idx="1">
                  <c:v>7.068038740920092</c:v>
                </c:pt>
                <c:pt idx="2">
                  <c:v>7.1066465256797624</c:v>
                </c:pt>
                <c:pt idx="3">
                  <c:v>7.0072463768115947</c:v>
                </c:pt>
                <c:pt idx="4">
                  <c:v>6.8666666666666671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33-448B-ABBF-3E0114E3C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209151"/>
        <c:axId val="1202611791"/>
      </c:barChart>
      <c:catAx>
        <c:axId val="101920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611791"/>
        <c:crosses val="autoZero"/>
        <c:auto val="1"/>
        <c:lblAlgn val="ctr"/>
        <c:lblOffset val="100"/>
        <c:noMultiLvlLbl val="0"/>
      </c:catAx>
      <c:valAx>
        <c:axId val="120261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09151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[1.xlsx]Pivot tables!PivotTable1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Movies Released by Year</a:t>
            </a:r>
          </a:p>
        </c:rich>
      </c:tx>
      <c:overlay val="1"/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'Pivot tables'!$A$2:$A$38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strCache>
            </c:strRef>
          </c:cat>
          <c:val>
            <c:numRef>
              <c:f>'Pivot tables'!$B$2:$B$38</c:f>
              <c:numCache>
                <c:formatCode>General</c:formatCode>
                <c:ptCount val="36"/>
                <c:pt idx="0">
                  <c:v>34</c:v>
                </c:pt>
                <c:pt idx="1">
                  <c:v>36</c:v>
                </c:pt>
                <c:pt idx="2">
                  <c:v>25</c:v>
                </c:pt>
                <c:pt idx="3">
                  <c:v>29</c:v>
                </c:pt>
                <c:pt idx="4">
                  <c:v>20</c:v>
                </c:pt>
                <c:pt idx="5">
                  <c:v>33</c:v>
                </c:pt>
                <c:pt idx="6">
                  <c:v>29</c:v>
                </c:pt>
                <c:pt idx="7">
                  <c:v>19</c:v>
                </c:pt>
                <c:pt idx="8">
                  <c:v>31</c:v>
                </c:pt>
                <c:pt idx="9">
                  <c:v>29</c:v>
                </c:pt>
                <c:pt idx="10">
                  <c:v>21</c:v>
                </c:pt>
                <c:pt idx="11">
                  <c:v>29</c:v>
                </c:pt>
                <c:pt idx="12">
                  <c:v>25</c:v>
                </c:pt>
                <c:pt idx="13">
                  <c:v>22</c:v>
                </c:pt>
                <c:pt idx="14">
                  <c:v>32</c:v>
                </c:pt>
                <c:pt idx="15">
                  <c:v>27</c:v>
                </c:pt>
                <c:pt idx="16">
                  <c:v>29</c:v>
                </c:pt>
                <c:pt idx="17">
                  <c:v>31</c:v>
                </c:pt>
                <c:pt idx="18">
                  <c:v>22</c:v>
                </c:pt>
                <c:pt idx="19">
                  <c:v>21</c:v>
                </c:pt>
                <c:pt idx="20">
                  <c:v>33</c:v>
                </c:pt>
                <c:pt idx="21">
                  <c:v>28</c:v>
                </c:pt>
                <c:pt idx="22">
                  <c:v>30</c:v>
                </c:pt>
                <c:pt idx="23">
                  <c:v>35</c:v>
                </c:pt>
                <c:pt idx="24">
                  <c:v>30</c:v>
                </c:pt>
                <c:pt idx="25">
                  <c:v>30</c:v>
                </c:pt>
                <c:pt idx="26">
                  <c:v>29</c:v>
                </c:pt>
                <c:pt idx="27">
                  <c:v>35</c:v>
                </c:pt>
                <c:pt idx="28">
                  <c:v>32</c:v>
                </c:pt>
                <c:pt idx="29">
                  <c:v>27</c:v>
                </c:pt>
                <c:pt idx="30">
                  <c:v>20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36</c:v>
                </c:pt>
                <c:pt idx="3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D-479D-8778-8677DFE9E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9440607"/>
        <c:axId val="1070671823"/>
      </c:barChart>
      <c:catAx>
        <c:axId val="113944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71823"/>
        <c:crosses val="autoZero"/>
        <c:auto val="1"/>
        <c:lblAlgn val="ctr"/>
        <c:lblOffset val="100"/>
        <c:noMultiLvlLbl val="0"/>
      </c:catAx>
      <c:valAx>
        <c:axId val="107067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40607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[1.xlsx]Pivot tables!PivotTable2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Revenue by Genre</a:t>
            </a:r>
          </a:p>
        </c:rich>
      </c:tx>
      <c:overlay val="1"/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133114610673659"/>
          <c:y val="0.26328484981044042"/>
          <c:w val="0.54055314960629919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'Pivot tables'!$D$5:$D$15</c:f>
              <c:strCache>
                <c:ptCount val="10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Comedy</c:v>
                </c:pt>
                <c:pt idx="4">
                  <c:v>Crime</c:v>
                </c:pt>
                <c:pt idx="5">
                  <c:v>Drama</c:v>
                </c:pt>
                <c:pt idx="6">
                  <c:v>Horror</c:v>
                </c:pt>
                <c:pt idx="7">
                  <c:v>Romance</c:v>
                </c:pt>
                <c:pt idx="8">
                  <c:v>Sci-Fi</c:v>
                </c:pt>
                <c:pt idx="9">
                  <c:v>Thriller</c:v>
                </c:pt>
              </c:strCache>
            </c:strRef>
          </c:cat>
          <c:val>
            <c:numRef>
              <c:f>'Pivot tables'!$E$5:$E$15</c:f>
              <c:numCache>
                <c:formatCode>0.0</c:formatCode>
                <c:ptCount val="10"/>
                <c:pt idx="0">
                  <c:v>24306.3</c:v>
                </c:pt>
                <c:pt idx="1">
                  <c:v>8920.7000000000044</c:v>
                </c:pt>
                <c:pt idx="2">
                  <c:v>17026.099999999991</c:v>
                </c:pt>
                <c:pt idx="3">
                  <c:v>18301.30000000001</c:v>
                </c:pt>
                <c:pt idx="4">
                  <c:v>9051.5999999999967</c:v>
                </c:pt>
                <c:pt idx="5">
                  <c:v>14650.7</c:v>
                </c:pt>
                <c:pt idx="6">
                  <c:v>17325.3</c:v>
                </c:pt>
                <c:pt idx="7">
                  <c:v>12329.8</c:v>
                </c:pt>
                <c:pt idx="8">
                  <c:v>24008.19999999999</c:v>
                </c:pt>
                <c:pt idx="9">
                  <c:v>13559.899999999991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8D-45D3-BF4D-A128EED69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9687631"/>
        <c:axId val="1070713583"/>
      </c:barChart>
      <c:catAx>
        <c:axId val="1169687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713583"/>
        <c:crosses val="autoZero"/>
        <c:auto val="1"/>
        <c:lblAlgn val="ctr"/>
        <c:lblOffset val="100"/>
        <c:noMultiLvlLbl val="0"/>
      </c:catAx>
      <c:valAx>
        <c:axId val="107071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687631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[1.xlsx]Pivot tables!PivotTable4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Profit Share by Country</a:t>
            </a:r>
          </a:p>
        </c:rich>
      </c:tx>
      <c:overlay val="1"/>
    </c:title>
    <c:autoTitleDeleted val="0"/>
    <c:pivotFmts>
      <c:pivotFmt>
        <c:idx val="0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tables'!$I$4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45B-4CC9-9658-1D7AD045FD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45B-4CC9-9658-1D7AD045FD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45B-4CC9-9658-1D7AD045FD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45B-4CC9-9658-1D7AD045FD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45B-4CC9-9658-1D7AD045FD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45B-4CC9-9658-1D7AD045FD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45B-4CC9-9658-1D7AD045FD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45B-4CC9-9658-1D7AD045FDA4}"/>
              </c:ext>
            </c:extLst>
          </c:dPt>
          <c:cat>
            <c:strRef>
              <c:f>'Pivot tables'!$H$5:$H$13</c:f>
              <c:strCache>
                <c:ptCount val="8"/>
                <c:pt idx="0">
                  <c:v>USA</c:v>
                </c:pt>
                <c:pt idx="1">
                  <c:v>Japan</c:v>
                </c:pt>
                <c:pt idx="2">
                  <c:v>South Korea</c:v>
                </c:pt>
                <c:pt idx="3">
                  <c:v>UK</c:v>
                </c:pt>
                <c:pt idx="4">
                  <c:v>France</c:v>
                </c:pt>
                <c:pt idx="5">
                  <c:v>India</c:v>
                </c:pt>
                <c:pt idx="6">
                  <c:v>Canada</c:v>
                </c:pt>
                <c:pt idx="7">
                  <c:v>Australia</c:v>
                </c:pt>
              </c:strCache>
            </c:strRef>
          </c:cat>
          <c:val>
            <c:numRef>
              <c:f>'Pivot tables'!$I$5:$I$13</c:f>
              <c:numCache>
                <c:formatCode>0.0</c:formatCode>
                <c:ptCount val="8"/>
                <c:pt idx="0">
                  <c:v>65674.799999999988</c:v>
                </c:pt>
                <c:pt idx="1">
                  <c:v>5860.7999999999984</c:v>
                </c:pt>
                <c:pt idx="2">
                  <c:v>5759.6</c:v>
                </c:pt>
                <c:pt idx="3">
                  <c:v>4608.5</c:v>
                </c:pt>
                <c:pt idx="4">
                  <c:v>4025.1</c:v>
                </c:pt>
                <c:pt idx="5">
                  <c:v>3487.8</c:v>
                </c:pt>
                <c:pt idx="6">
                  <c:v>3233.6</c:v>
                </c:pt>
                <c:pt idx="7">
                  <c:v>2488.6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45B-4CC9-9658-1D7AD045FD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[1.xlsx]Pivot tables!PivotTable3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Movie Count by Genre</a:t>
            </a:r>
          </a:p>
        </c:rich>
      </c:tx>
      <c:overlay val="1"/>
    </c:title>
    <c:autoTitleDeleted val="0"/>
    <c:pivotFmts>
      <c:pivotFmt>
        <c:idx val="0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tables'!$E$19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'Pivot tables'!$D$20:$D$30</c:f>
              <c:strCache>
                <c:ptCount val="10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Comedy</c:v>
                </c:pt>
                <c:pt idx="4">
                  <c:v>Crime</c:v>
                </c:pt>
                <c:pt idx="5">
                  <c:v>Drama</c:v>
                </c:pt>
                <c:pt idx="6">
                  <c:v>Horror</c:v>
                </c:pt>
                <c:pt idx="7">
                  <c:v>Romance</c:v>
                </c:pt>
                <c:pt idx="8">
                  <c:v>Sci-Fi</c:v>
                </c:pt>
                <c:pt idx="9">
                  <c:v>Thriller</c:v>
                </c:pt>
              </c:strCache>
            </c:strRef>
          </c:cat>
          <c:val>
            <c:numRef>
              <c:f>'Pivot tables'!$E$20:$E$30</c:f>
              <c:numCache>
                <c:formatCode>General</c:formatCode>
                <c:ptCount val="10"/>
                <c:pt idx="0">
                  <c:v>149</c:v>
                </c:pt>
                <c:pt idx="1">
                  <c:v>46</c:v>
                </c:pt>
                <c:pt idx="2">
                  <c:v>94</c:v>
                </c:pt>
                <c:pt idx="3">
                  <c:v>102</c:v>
                </c:pt>
                <c:pt idx="4">
                  <c:v>65</c:v>
                </c:pt>
                <c:pt idx="5">
                  <c:v>132</c:v>
                </c:pt>
                <c:pt idx="6">
                  <c:v>88</c:v>
                </c:pt>
                <c:pt idx="7">
                  <c:v>84</c:v>
                </c:pt>
                <c:pt idx="8">
                  <c:v>131</c:v>
                </c:pt>
                <c:pt idx="9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78-49ED-B2EB-4CB8F2909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745823"/>
        <c:axId val="948488783"/>
      </c:lineChart>
      <c:catAx>
        <c:axId val="116774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488783"/>
        <c:crosses val="autoZero"/>
        <c:auto val="1"/>
        <c:lblAlgn val="ctr"/>
        <c:lblOffset val="100"/>
        <c:noMultiLvlLbl val="0"/>
      </c:catAx>
      <c:valAx>
        <c:axId val="94848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45823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[1.xlsx]Pivot tables!PivotTable3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Average IMDb Rating by Genre</a:t>
            </a:r>
          </a:p>
        </c:rich>
      </c:tx>
      <c:layout>
        <c:manualLayout>
          <c:xMode val="edge"/>
          <c:yMode val="edge"/>
          <c:x val="0.61890421455938693"/>
          <c:y val="3.9739173343838662E-2"/>
        </c:manualLayout>
      </c:layout>
      <c:overlay val="1"/>
    </c:title>
    <c:autoTitleDeleted val="0"/>
    <c:pivotFmts>
      <c:pivotFmt>
        <c:idx val="0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  <a:prstDash val="solid"/>
          </a:ln>
        </c:spPr>
      </c:pivotFmt>
      <c:pivotFmt>
        <c:idx val="9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"/>
        <c:spPr>
          <a:solidFill>
            <a:schemeClr val="accent4">
              <a:lumMod val="60000"/>
            </a:schemeClr>
          </a:solidFill>
          <a:ln w="19050">
            <a:solidFill>
              <a:schemeClr val="lt1"/>
            </a:solidFill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tables'!$E$19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9DB-4210-90ED-6617647C38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9DB-4210-90ED-6617647C38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9DB-4210-90ED-6617647C38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9DB-4210-90ED-6617647C38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9DB-4210-90ED-6617647C38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9DB-4210-90ED-6617647C385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9DB-4210-90ED-6617647C385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9DB-4210-90ED-6617647C385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9DB-4210-90ED-6617647C385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9DB-4210-90ED-6617647C3858}"/>
              </c:ext>
            </c:extLst>
          </c:dPt>
          <c:cat>
            <c:strRef>
              <c:f>'Pivot tables'!$D$20:$D$30</c:f>
              <c:strCache>
                <c:ptCount val="10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Comedy</c:v>
                </c:pt>
                <c:pt idx="4">
                  <c:v>Crime</c:v>
                </c:pt>
                <c:pt idx="5">
                  <c:v>Drama</c:v>
                </c:pt>
                <c:pt idx="6">
                  <c:v>Horror</c:v>
                </c:pt>
                <c:pt idx="7">
                  <c:v>Romance</c:v>
                </c:pt>
                <c:pt idx="8">
                  <c:v>Sci-Fi</c:v>
                </c:pt>
                <c:pt idx="9">
                  <c:v>Thriller</c:v>
                </c:pt>
              </c:strCache>
            </c:strRef>
          </c:cat>
          <c:val>
            <c:numRef>
              <c:f>'Pivot tables'!$E$20:$E$30</c:f>
              <c:numCache>
                <c:formatCode>General</c:formatCode>
                <c:ptCount val="10"/>
                <c:pt idx="0">
                  <c:v>149</c:v>
                </c:pt>
                <c:pt idx="1">
                  <c:v>46</c:v>
                </c:pt>
                <c:pt idx="2">
                  <c:v>94</c:v>
                </c:pt>
                <c:pt idx="3">
                  <c:v>102</c:v>
                </c:pt>
                <c:pt idx="4">
                  <c:v>65</c:v>
                </c:pt>
                <c:pt idx="5">
                  <c:v>132</c:v>
                </c:pt>
                <c:pt idx="6">
                  <c:v>88</c:v>
                </c:pt>
                <c:pt idx="7">
                  <c:v>84</c:v>
                </c:pt>
                <c:pt idx="8">
                  <c:v>131</c:v>
                </c:pt>
                <c:pt idx="9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9DB-4210-90ED-6617647C3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[1.xlsx]Pivot tables!PivotTable5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Profit by Country</a:t>
            </a:r>
          </a:p>
        </c:rich>
      </c:tx>
      <c:overlay val="1"/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'Pivot tables'!$H$20:$H$30</c:f>
              <c:strCache>
                <c:ptCount val="10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Comedy</c:v>
                </c:pt>
                <c:pt idx="4">
                  <c:v>Crime</c:v>
                </c:pt>
                <c:pt idx="5">
                  <c:v>Drama</c:v>
                </c:pt>
                <c:pt idx="6">
                  <c:v>Horror</c:v>
                </c:pt>
                <c:pt idx="7">
                  <c:v>Romance</c:v>
                </c:pt>
                <c:pt idx="8">
                  <c:v>Sci-Fi</c:v>
                </c:pt>
                <c:pt idx="9">
                  <c:v>Thriller</c:v>
                </c:pt>
              </c:strCache>
            </c:strRef>
          </c:cat>
          <c:val>
            <c:numRef>
              <c:f>'Pivot tables'!$I$20:$I$30</c:f>
              <c:numCache>
                <c:formatCode>0.0</c:formatCode>
                <c:ptCount val="10"/>
                <c:pt idx="0">
                  <c:v>7.0973154362416109</c:v>
                </c:pt>
                <c:pt idx="1">
                  <c:v>7.0195652173913041</c:v>
                </c:pt>
                <c:pt idx="2">
                  <c:v>7.1627659574468101</c:v>
                </c:pt>
                <c:pt idx="3">
                  <c:v>6.9696078431372568</c:v>
                </c:pt>
                <c:pt idx="4">
                  <c:v>7.281538461538462</c:v>
                </c:pt>
                <c:pt idx="5">
                  <c:v>7.1924242424242442</c:v>
                </c:pt>
                <c:pt idx="6">
                  <c:v>7.0670454545454504</c:v>
                </c:pt>
                <c:pt idx="7">
                  <c:v>7.0666666666666673</c:v>
                </c:pt>
                <c:pt idx="8">
                  <c:v>7.0328244274809162</c:v>
                </c:pt>
                <c:pt idx="9">
                  <c:v>7.1422018348623864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85-45E2-8727-118D147E1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062399"/>
        <c:axId val="948464303"/>
      </c:barChart>
      <c:catAx>
        <c:axId val="115906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464303"/>
        <c:crosses val="autoZero"/>
        <c:auto val="1"/>
        <c:lblAlgn val="ctr"/>
        <c:lblOffset val="100"/>
        <c:noMultiLvlLbl val="0"/>
      </c:catAx>
      <c:valAx>
        <c:axId val="94846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062399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[1.xlsx]Pivot tables!PivotTable8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tables'!$O$4</c:f>
              <c:strCache>
                <c:ptCount val="1"/>
                <c:pt idx="0">
                  <c:v>Count of Movie_ID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'Pivot tables'!$N$5:$N$10</c:f>
              <c:strCache>
                <c:ptCount val="5"/>
                <c:pt idx="0">
                  <c:v>70-99</c:v>
                </c:pt>
                <c:pt idx="1">
                  <c:v>100-129</c:v>
                </c:pt>
                <c:pt idx="2">
                  <c:v>130-159</c:v>
                </c:pt>
                <c:pt idx="3">
                  <c:v>160-189</c:v>
                </c:pt>
                <c:pt idx="4">
                  <c:v>190-219</c:v>
                </c:pt>
              </c:strCache>
            </c:strRef>
          </c:cat>
          <c:val>
            <c:numRef>
              <c:f>'Pivot tables'!$O$5:$O$10</c:f>
              <c:numCache>
                <c:formatCode>General</c:formatCode>
                <c:ptCount val="5"/>
                <c:pt idx="0">
                  <c:v>181</c:v>
                </c:pt>
                <c:pt idx="1">
                  <c:v>413</c:v>
                </c:pt>
                <c:pt idx="2">
                  <c:v>331</c:v>
                </c:pt>
                <c:pt idx="3">
                  <c:v>69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A-4F9B-9387-9174BA0D1876}"/>
            </c:ext>
          </c:extLst>
        </c:ser>
        <c:ser>
          <c:idx val="1"/>
          <c:order val="1"/>
          <c:tx>
            <c:strRef>
              <c:f>'Pivot tables'!$P$4</c:f>
              <c:strCache>
                <c:ptCount val="1"/>
                <c:pt idx="0">
                  <c:v>Average of IMDb_Rating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'Pivot tables'!$N$5:$N$10</c:f>
              <c:strCache>
                <c:ptCount val="5"/>
                <c:pt idx="0">
                  <c:v>70-99</c:v>
                </c:pt>
                <c:pt idx="1">
                  <c:v>100-129</c:v>
                </c:pt>
                <c:pt idx="2">
                  <c:v>130-159</c:v>
                </c:pt>
                <c:pt idx="3">
                  <c:v>160-189</c:v>
                </c:pt>
                <c:pt idx="4">
                  <c:v>190-219</c:v>
                </c:pt>
              </c:strCache>
            </c:strRef>
          </c:cat>
          <c:val>
            <c:numRef>
              <c:f>'Pivot tables'!$P$5:$P$10</c:f>
              <c:numCache>
                <c:formatCode>0.0</c:formatCode>
                <c:ptCount val="5"/>
                <c:pt idx="0">
                  <c:v>7.2182320441988992</c:v>
                </c:pt>
                <c:pt idx="1">
                  <c:v>7.068038740920092</c:v>
                </c:pt>
                <c:pt idx="2">
                  <c:v>7.1066465256797624</c:v>
                </c:pt>
                <c:pt idx="3">
                  <c:v>7.0072463768115947</c:v>
                </c:pt>
                <c:pt idx="4">
                  <c:v>6.8666666666666671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A-4F9B-9387-9174BA0D1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209151"/>
        <c:axId val="1202611791"/>
      </c:barChart>
      <c:catAx>
        <c:axId val="101920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611791"/>
        <c:crosses val="autoZero"/>
        <c:auto val="1"/>
        <c:lblAlgn val="ctr"/>
        <c:lblOffset val="100"/>
        <c:noMultiLvlLbl val="0"/>
      </c:catAx>
      <c:valAx>
        <c:axId val="120261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209151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[1.xlsx]Pivot tables!PivotTable1</c:name>
    <c:fmtId val="0"/>
  </c:pivotSource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'Pivot tables'!$A$2:$A$38</c:f>
              <c:strCach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strCache>
            </c:strRef>
          </c:cat>
          <c:val>
            <c:numRef>
              <c:f>'Pivot tables'!$B$2:$B$38</c:f>
              <c:numCache>
                <c:formatCode>General</c:formatCode>
                <c:ptCount val="36"/>
                <c:pt idx="0">
                  <c:v>34</c:v>
                </c:pt>
                <c:pt idx="1">
                  <c:v>36</c:v>
                </c:pt>
                <c:pt idx="2">
                  <c:v>25</c:v>
                </c:pt>
                <c:pt idx="3">
                  <c:v>29</c:v>
                </c:pt>
                <c:pt idx="4">
                  <c:v>20</c:v>
                </c:pt>
                <c:pt idx="5">
                  <c:v>33</c:v>
                </c:pt>
                <c:pt idx="6">
                  <c:v>29</c:v>
                </c:pt>
                <c:pt idx="7">
                  <c:v>19</c:v>
                </c:pt>
                <c:pt idx="8">
                  <c:v>31</c:v>
                </c:pt>
                <c:pt idx="9">
                  <c:v>29</c:v>
                </c:pt>
                <c:pt idx="10">
                  <c:v>21</c:v>
                </c:pt>
                <c:pt idx="11">
                  <c:v>29</c:v>
                </c:pt>
                <c:pt idx="12">
                  <c:v>25</c:v>
                </c:pt>
                <c:pt idx="13">
                  <c:v>22</c:v>
                </c:pt>
                <c:pt idx="14">
                  <c:v>32</c:v>
                </c:pt>
                <c:pt idx="15">
                  <c:v>27</c:v>
                </c:pt>
                <c:pt idx="16">
                  <c:v>29</c:v>
                </c:pt>
                <c:pt idx="17">
                  <c:v>31</c:v>
                </c:pt>
                <c:pt idx="18">
                  <c:v>22</c:v>
                </c:pt>
                <c:pt idx="19">
                  <c:v>21</c:v>
                </c:pt>
                <c:pt idx="20">
                  <c:v>33</c:v>
                </c:pt>
                <c:pt idx="21">
                  <c:v>28</c:v>
                </c:pt>
                <c:pt idx="22">
                  <c:v>30</c:v>
                </c:pt>
                <c:pt idx="23">
                  <c:v>35</c:v>
                </c:pt>
                <c:pt idx="24">
                  <c:v>30</c:v>
                </c:pt>
                <c:pt idx="25">
                  <c:v>30</c:v>
                </c:pt>
                <c:pt idx="26">
                  <c:v>29</c:v>
                </c:pt>
                <c:pt idx="27">
                  <c:v>35</c:v>
                </c:pt>
                <c:pt idx="28">
                  <c:v>32</c:v>
                </c:pt>
                <c:pt idx="29">
                  <c:v>27</c:v>
                </c:pt>
                <c:pt idx="30">
                  <c:v>20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36</c:v>
                </c:pt>
                <c:pt idx="3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4-45CF-B66F-37C3630F4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9440607"/>
        <c:axId val="1070671823"/>
      </c:barChart>
      <c:catAx>
        <c:axId val="113944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671823"/>
        <c:crosses val="autoZero"/>
        <c:auto val="1"/>
        <c:lblAlgn val="ctr"/>
        <c:lblOffset val="100"/>
        <c:noMultiLvlLbl val="0"/>
      </c:catAx>
      <c:valAx>
        <c:axId val="107067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40607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[1.xlsx]Pivot tables!PivotTable2</c:name>
    <c:fmtId val="0"/>
  </c:pivotSource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133114610673659"/>
          <c:y val="0.26328484981044042"/>
          <c:w val="0.54055314960629919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'Pivot tables'!$D$5:$D$15</c:f>
              <c:strCache>
                <c:ptCount val="10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Comedy</c:v>
                </c:pt>
                <c:pt idx="4">
                  <c:v>Crime</c:v>
                </c:pt>
                <c:pt idx="5">
                  <c:v>Drama</c:v>
                </c:pt>
                <c:pt idx="6">
                  <c:v>Horror</c:v>
                </c:pt>
                <c:pt idx="7">
                  <c:v>Romance</c:v>
                </c:pt>
                <c:pt idx="8">
                  <c:v>Sci-Fi</c:v>
                </c:pt>
                <c:pt idx="9">
                  <c:v>Thriller</c:v>
                </c:pt>
              </c:strCache>
            </c:strRef>
          </c:cat>
          <c:val>
            <c:numRef>
              <c:f>'Pivot tables'!$E$5:$E$15</c:f>
              <c:numCache>
                <c:formatCode>0.0</c:formatCode>
                <c:ptCount val="10"/>
                <c:pt idx="0">
                  <c:v>24306.3</c:v>
                </c:pt>
                <c:pt idx="1">
                  <c:v>8920.7000000000044</c:v>
                </c:pt>
                <c:pt idx="2">
                  <c:v>17026.099999999991</c:v>
                </c:pt>
                <c:pt idx="3">
                  <c:v>18301.30000000001</c:v>
                </c:pt>
                <c:pt idx="4">
                  <c:v>9051.5999999999967</c:v>
                </c:pt>
                <c:pt idx="5">
                  <c:v>14650.7</c:v>
                </c:pt>
                <c:pt idx="6">
                  <c:v>17325.3</c:v>
                </c:pt>
                <c:pt idx="7">
                  <c:v>12329.8</c:v>
                </c:pt>
                <c:pt idx="8">
                  <c:v>24008.19999999999</c:v>
                </c:pt>
                <c:pt idx="9">
                  <c:v>13559.899999999991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4-43A0-A122-4A6EE501D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9687631"/>
        <c:axId val="1070713583"/>
      </c:barChart>
      <c:catAx>
        <c:axId val="1169687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713583"/>
        <c:crosses val="autoZero"/>
        <c:auto val="1"/>
        <c:lblAlgn val="ctr"/>
        <c:lblOffset val="100"/>
        <c:noMultiLvlLbl val="0"/>
      </c:catAx>
      <c:valAx>
        <c:axId val="107071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687631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[1.xlsx]Pivot tables!PivotTable4</c:name>
    <c:fmtId val="0"/>
  </c:pivotSource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tables'!$I$4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AE1-460F-A64B-C4B5183092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AE1-460F-A64B-C4B5183092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AE1-460F-A64B-C4B5183092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AE1-460F-A64B-C4B5183092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AE1-460F-A64B-C4B5183092C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AE1-460F-A64B-C4B5183092C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AE1-460F-A64B-C4B5183092C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AE1-460F-A64B-C4B5183092CD}"/>
              </c:ext>
            </c:extLst>
          </c:dPt>
          <c:cat>
            <c:strRef>
              <c:f>'Pivot tables'!$H$5:$H$13</c:f>
              <c:strCache>
                <c:ptCount val="8"/>
                <c:pt idx="0">
                  <c:v>USA</c:v>
                </c:pt>
                <c:pt idx="1">
                  <c:v>Japan</c:v>
                </c:pt>
                <c:pt idx="2">
                  <c:v>South Korea</c:v>
                </c:pt>
                <c:pt idx="3">
                  <c:v>UK</c:v>
                </c:pt>
                <c:pt idx="4">
                  <c:v>France</c:v>
                </c:pt>
                <c:pt idx="5">
                  <c:v>India</c:v>
                </c:pt>
                <c:pt idx="6">
                  <c:v>Canada</c:v>
                </c:pt>
                <c:pt idx="7">
                  <c:v>Australia</c:v>
                </c:pt>
              </c:strCache>
            </c:strRef>
          </c:cat>
          <c:val>
            <c:numRef>
              <c:f>'Pivot tables'!$I$5:$I$13</c:f>
              <c:numCache>
                <c:formatCode>0.0</c:formatCode>
                <c:ptCount val="8"/>
                <c:pt idx="0">
                  <c:v>65674.799999999988</c:v>
                </c:pt>
                <c:pt idx="1">
                  <c:v>5860.7999999999984</c:v>
                </c:pt>
                <c:pt idx="2">
                  <c:v>5759.6</c:v>
                </c:pt>
                <c:pt idx="3">
                  <c:v>4608.5</c:v>
                </c:pt>
                <c:pt idx="4">
                  <c:v>4025.1</c:v>
                </c:pt>
                <c:pt idx="5">
                  <c:v>3487.8</c:v>
                </c:pt>
                <c:pt idx="6">
                  <c:v>3233.6</c:v>
                </c:pt>
                <c:pt idx="7">
                  <c:v>2488.6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AE1-460F-A64B-C4B518309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[1.xlsx]Pivot tables!PivotTable3</c:name>
    <c:fmtId val="0"/>
  </c:pivotSource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tables'!$E$19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'Pivot tables'!$D$20:$D$30</c:f>
              <c:strCache>
                <c:ptCount val="10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Comedy</c:v>
                </c:pt>
                <c:pt idx="4">
                  <c:v>Crime</c:v>
                </c:pt>
                <c:pt idx="5">
                  <c:v>Drama</c:v>
                </c:pt>
                <c:pt idx="6">
                  <c:v>Horror</c:v>
                </c:pt>
                <c:pt idx="7">
                  <c:v>Romance</c:v>
                </c:pt>
                <c:pt idx="8">
                  <c:v>Sci-Fi</c:v>
                </c:pt>
                <c:pt idx="9">
                  <c:v>Thriller</c:v>
                </c:pt>
              </c:strCache>
            </c:strRef>
          </c:cat>
          <c:val>
            <c:numRef>
              <c:f>'Pivot tables'!$E$20:$E$30</c:f>
              <c:numCache>
                <c:formatCode>General</c:formatCode>
                <c:ptCount val="10"/>
                <c:pt idx="0">
                  <c:v>149</c:v>
                </c:pt>
                <c:pt idx="1">
                  <c:v>46</c:v>
                </c:pt>
                <c:pt idx="2">
                  <c:v>94</c:v>
                </c:pt>
                <c:pt idx="3">
                  <c:v>102</c:v>
                </c:pt>
                <c:pt idx="4">
                  <c:v>65</c:v>
                </c:pt>
                <c:pt idx="5">
                  <c:v>132</c:v>
                </c:pt>
                <c:pt idx="6">
                  <c:v>88</c:v>
                </c:pt>
                <c:pt idx="7">
                  <c:v>84</c:v>
                </c:pt>
                <c:pt idx="8">
                  <c:v>131</c:v>
                </c:pt>
                <c:pt idx="9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1B-44E2-9643-66B5785EE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745823"/>
        <c:axId val="948488783"/>
      </c:lineChart>
      <c:catAx>
        <c:axId val="116774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488783"/>
        <c:crosses val="autoZero"/>
        <c:auto val="1"/>
        <c:lblAlgn val="ctr"/>
        <c:lblOffset val="100"/>
        <c:noMultiLvlLbl val="0"/>
      </c:catAx>
      <c:valAx>
        <c:axId val="94848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745823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[1.xlsx]Pivot tables!PivotTable3</c:name>
    <c:fmtId val="1"/>
  </c:pivotSource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  <a:prstDash val="solid"/>
          </a:ln>
        </c:spPr>
      </c:pivotFmt>
      <c:pivotFmt>
        <c:idx val="7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  <a:prstDash val="solid"/>
          </a:ln>
        </c:spPr>
      </c:pivotFmt>
      <c:pivotFmt>
        <c:idx val="8"/>
        <c:spPr>
          <a:solidFill>
            <a:schemeClr val="accent2">
              <a:lumMod val="60000"/>
            </a:schemeClr>
          </a:solidFill>
          <a:ln w="19050">
            <a:solidFill>
              <a:schemeClr val="lt1"/>
            </a:solidFill>
            <a:prstDash val="solid"/>
          </a:ln>
        </c:spPr>
      </c:pivotFmt>
      <c:pivotFmt>
        <c:idx val="9"/>
        <c:spPr>
          <a:solidFill>
            <a:schemeClr val="accent3">
              <a:lumMod val="60000"/>
            </a:schemeClr>
          </a:solidFill>
          <a:ln w="19050">
            <a:solidFill>
              <a:schemeClr val="lt1"/>
            </a:solidFill>
            <a:prstDash val="solid"/>
          </a:ln>
        </c:spPr>
      </c:pivotFmt>
      <c:pivotFmt>
        <c:idx val="10"/>
        <c:spPr>
          <a:solidFill>
            <a:schemeClr val="accent4">
              <a:lumMod val="60000"/>
            </a:schemeClr>
          </a:solidFill>
          <a:ln w="19050">
            <a:solidFill>
              <a:schemeClr val="lt1"/>
            </a:solidFill>
            <a:prstDash val="solid"/>
          </a:ln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tables'!$E$19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CD1-43BB-B736-2BD87D8E63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CD1-43BB-B736-2BD87D8E63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CD1-43BB-B736-2BD87D8E63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CD1-43BB-B736-2BD87D8E63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CD1-43BB-B736-2BD87D8E631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CD1-43BB-B736-2BD87D8E631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CD1-43BB-B736-2BD87D8E631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CD1-43BB-B736-2BD87D8E631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CD1-43BB-B736-2BD87D8E631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5CD1-43BB-B736-2BD87D8E631E}"/>
              </c:ext>
            </c:extLst>
          </c:dPt>
          <c:cat>
            <c:strRef>
              <c:f>'Pivot tables'!$D$20:$D$30</c:f>
              <c:strCache>
                <c:ptCount val="10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Comedy</c:v>
                </c:pt>
                <c:pt idx="4">
                  <c:v>Crime</c:v>
                </c:pt>
                <c:pt idx="5">
                  <c:v>Drama</c:v>
                </c:pt>
                <c:pt idx="6">
                  <c:v>Horror</c:v>
                </c:pt>
                <c:pt idx="7">
                  <c:v>Romance</c:v>
                </c:pt>
                <c:pt idx="8">
                  <c:v>Sci-Fi</c:v>
                </c:pt>
                <c:pt idx="9">
                  <c:v>Thriller</c:v>
                </c:pt>
              </c:strCache>
            </c:strRef>
          </c:cat>
          <c:val>
            <c:numRef>
              <c:f>'Pivot tables'!$E$20:$E$30</c:f>
              <c:numCache>
                <c:formatCode>General</c:formatCode>
                <c:ptCount val="10"/>
                <c:pt idx="0">
                  <c:v>149</c:v>
                </c:pt>
                <c:pt idx="1">
                  <c:v>46</c:v>
                </c:pt>
                <c:pt idx="2">
                  <c:v>94</c:v>
                </c:pt>
                <c:pt idx="3">
                  <c:v>102</c:v>
                </c:pt>
                <c:pt idx="4">
                  <c:v>65</c:v>
                </c:pt>
                <c:pt idx="5">
                  <c:v>132</c:v>
                </c:pt>
                <c:pt idx="6">
                  <c:v>88</c:v>
                </c:pt>
                <c:pt idx="7">
                  <c:v>84</c:v>
                </c:pt>
                <c:pt idx="8">
                  <c:v>131</c:v>
                </c:pt>
                <c:pt idx="9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CD1-43BB-B736-2BD87D8E6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pivotSource>
    <c:name>[1.xlsx]Pivot tables!PivotTable5</c:name>
    <c:fmtId val="0"/>
  </c:pivotSource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tables'!$I$19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'Pivot tables'!$H$20:$H$30</c:f>
              <c:strCache>
                <c:ptCount val="10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Comedy</c:v>
                </c:pt>
                <c:pt idx="4">
                  <c:v>Crime</c:v>
                </c:pt>
                <c:pt idx="5">
                  <c:v>Drama</c:v>
                </c:pt>
                <c:pt idx="6">
                  <c:v>Horror</c:v>
                </c:pt>
                <c:pt idx="7">
                  <c:v>Romance</c:v>
                </c:pt>
                <c:pt idx="8">
                  <c:v>Sci-Fi</c:v>
                </c:pt>
                <c:pt idx="9">
                  <c:v>Thriller</c:v>
                </c:pt>
              </c:strCache>
            </c:strRef>
          </c:cat>
          <c:val>
            <c:numRef>
              <c:f>'Pivot tables'!$I$20:$I$30</c:f>
              <c:numCache>
                <c:formatCode>0.0</c:formatCode>
                <c:ptCount val="10"/>
                <c:pt idx="0">
                  <c:v>7.0973154362416109</c:v>
                </c:pt>
                <c:pt idx="1">
                  <c:v>7.0195652173913041</c:v>
                </c:pt>
                <c:pt idx="2">
                  <c:v>7.1627659574468101</c:v>
                </c:pt>
                <c:pt idx="3">
                  <c:v>6.9696078431372568</c:v>
                </c:pt>
                <c:pt idx="4">
                  <c:v>7.281538461538462</c:v>
                </c:pt>
                <c:pt idx="5">
                  <c:v>7.1924242424242442</c:v>
                </c:pt>
                <c:pt idx="6">
                  <c:v>7.0670454545454504</c:v>
                </c:pt>
                <c:pt idx="7">
                  <c:v>7.0666666666666673</c:v>
                </c:pt>
                <c:pt idx="8">
                  <c:v>7.0328244274809162</c:v>
                </c:pt>
                <c:pt idx="9">
                  <c:v>7.1422018348623864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0-484A-AD6D-D691EEF25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9062399"/>
        <c:axId val="948464303"/>
      </c:barChart>
      <c:catAx>
        <c:axId val="115906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464303"/>
        <c:crosses val="autoZero"/>
        <c:auto val="1"/>
        <c:lblAlgn val="ctr"/>
        <c:lblOffset val="100"/>
        <c:noMultiLvlLbl val="0"/>
      </c:catAx>
      <c:valAx>
        <c:axId val="94846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062399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0</xdr:rowOff>
    </xdr:from>
    <xdr:ext cx="5220000" cy="295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8</xdr:row>
      <xdr:rowOff>0</xdr:rowOff>
    </xdr:from>
    <xdr:ext cx="5867400" cy="295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25</xdr:row>
      <xdr:rowOff>0</xdr:rowOff>
    </xdr:from>
    <xdr:ext cx="5220000" cy="295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25</xdr:row>
      <xdr:rowOff>0</xdr:rowOff>
    </xdr:from>
    <xdr:ext cx="5220000" cy="295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42</xdr:row>
      <xdr:rowOff>0</xdr:rowOff>
    </xdr:from>
    <xdr:ext cx="5220000" cy="2951999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0</xdr:colOff>
      <xdr:row>41</xdr:row>
      <xdr:rowOff>7620</xdr:rowOff>
    </xdr:from>
    <xdr:ext cx="5220000" cy="3195839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</xdr:col>
      <xdr:colOff>0</xdr:colOff>
      <xdr:row>59</xdr:row>
      <xdr:rowOff>0</xdr:rowOff>
    </xdr:from>
    <xdr:ext cx="5220000" cy="2951999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15</xdr:row>
      <xdr:rowOff>99060</xdr:rowOff>
    </xdr:from>
    <xdr:to>
      <xdr:col>16</xdr:col>
      <xdr:colOff>1943100</xdr:colOff>
      <xdr:row>30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137160</xdr:colOff>
      <xdr:row>41</xdr:row>
      <xdr:rowOff>68580</xdr:rowOff>
    </xdr:from>
    <xdr:to>
      <xdr:col>4</xdr:col>
      <xdr:colOff>1333500</xdr:colOff>
      <xdr:row>56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533400</xdr:colOff>
      <xdr:row>41</xdr:row>
      <xdr:rowOff>38100</xdr:rowOff>
    </xdr:from>
    <xdr:to>
      <xdr:col>10</xdr:col>
      <xdr:colOff>899160</xdr:colOff>
      <xdr:row>56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60960</xdr:colOff>
      <xdr:row>60</xdr:row>
      <xdr:rowOff>53340</xdr:rowOff>
    </xdr:from>
    <xdr:to>
      <xdr:col>5</xdr:col>
      <xdr:colOff>91440</xdr:colOff>
      <xdr:row>75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594360</xdr:colOff>
      <xdr:row>61</xdr:row>
      <xdr:rowOff>53340</xdr:rowOff>
    </xdr:from>
    <xdr:to>
      <xdr:col>10</xdr:col>
      <xdr:colOff>1569720</xdr:colOff>
      <xdr:row>76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</xdr:colOff>
      <xdr:row>77</xdr:row>
      <xdr:rowOff>38100</xdr:rowOff>
    </xdr:from>
    <xdr:to>
      <xdr:col>5</xdr:col>
      <xdr:colOff>45720</xdr:colOff>
      <xdr:row>92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243840</xdr:colOff>
      <xdr:row>77</xdr:row>
      <xdr:rowOff>99060</xdr:rowOff>
    </xdr:from>
    <xdr:to>
      <xdr:col>11</xdr:col>
      <xdr:colOff>198120</xdr:colOff>
      <xdr:row>92</xdr:row>
      <xdr:rowOff>99060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H" refreshedDate="46259.580938657411" createdVersion="8" refreshedVersion="8" minRefreshableVersion="3" recordCount="1000" xr:uid="{00000000-000A-0000-FFFF-FFFF03000000}">
  <cacheSource type="worksheet">
    <worksheetSource name="Table1"/>
  </cacheSource>
  <cacheFields count="12">
    <cacheField name="Movie_ID" numFmtId="0">
      <sharedItems containsSemiMixedTypes="0" containsString="0" containsNumber="1" containsInteger="1" minValue="1" maxValue="1000"/>
    </cacheField>
    <cacheField name="Movie_Name" numFmtId="0">
      <sharedItems count="1000">
        <s v="Inception"/>
        <s v="The Dark Knight"/>
        <s v="Interstellar"/>
        <s v="Avengers: Endgame"/>
        <s v="Parasite"/>
        <s v="3 Idiots"/>
        <s v="Dangal"/>
        <s v="RRR"/>
        <s v="Joker"/>
        <s v="Titanic"/>
        <s v="Avatar"/>
        <s v="The Godfather"/>
        <s v="Toy Story"/>
        <s v="Coco"/>
        <s v="Frozen"/>
        <s v="Black Panther"/>
        <s v="La La Land"/>
        <s v="Get Out"/>
        <s v="A Quiet Place"/>
        <s v="Top Gun: Maverick"/>
        <s v="The Hangover"/>
        <s v="Drishyam"/>
        <s v="Andhadhun"/>
        <s v="Kantara"/>
        <s v="Everything Everywhere All at Once"/>
        <s v="Oppenheimer"/>
        <s v="Barbie"/>
        <s v="Dune: Part Two"/>
        <s v="Inside Out 2"/>
        <s v="Pushpa: The Rise"/>
        <s v="Inception 0031"/>
        <s v="The Dark Knight 0032"/>
        <s v="Interstellar 0033"/>
        <s v="Avengers: Endgame 0034"/>
        <s v="Parasite 0035"/>
        <s v="3 Idiots 0036"/>
        <s v="Dangal 0037"/>
        <s v="RRR 0038"/>
        <s v="Joker 0039"/>
        <s v="Titanic 0040"/>
        <s v="Avatar 0041"/>
        <s v="The Godfather 0042"/>
        <s v="Toy Story 0043"/>
        <s v="Coco 0044"/>
        <s v="Frozen 0045"/>
        <s v="Black Panther 0046"/>
        <s v="La La Land 0047"/>
        <s v="Get Out 0048"/>
        <s v="A Quiet Place 0049"/>
        <s v="Top Gun: Maverick 0050"/>
        <s v="The Hangover 0051"/>
        <s v="Drishyam 0052"/>
        <s v="Andhadhun 0053"/>
        <s v="Kantara 0054"/>
        <s v="Everything Everywhere All at Once 0055"/>
        <s v="Oppenheimer 0056"/>
        <s v="Barbie 0057"/>
        <s v="Dune: Part Two 0058"/>
        <s v="Inside Out 2 0059"/>
        <s v="Pushpa: The Rise 0060"/>
        <s v="Inception 0061"/>
        <s v="The Dark Knight 0062"/>
        <s v="Interstellar 0063"/>
        <s v="Avengers: Endgame 0064"/>
        <s v="Parasite 0065"/>
        <s v="3 Idiots 0066"/>
        <s v="Dangal 0067"/>
        <s v="RRR 0068"/>
        <s v="Joker 0069"/>
        <s v="Titanic 0070"/>
        <s v="Avatar 0071"/>
        <s v="The Godfather 0072"/>
        <s v="Toy Story 0073"/>
        <s v="Coco 0074"/>
        <s v="Frozen 0075"/>
        <s v="Black Panther 0076"/>
        <s v="La La Land 0077"/>
        <s v="Get Out 0078"/>
        <s v="A Quiet Place 0079"/>
        <s v="Top Gun: Maverick 0080"/>
        <s v="The Hangover 0081"/>
        <s v="Drishyam 0082"/>
        <s v="Andhadhun 0083"/>
        <s v="Kantara 0084"/>
        <s v="Everything Everywhere All at Once 0085"/>
        <s v="Oppenheimer 0086"/>
        <s v="Barbie 0087"/>
        <s v="Dune: Part Two 0088"/>
        <s v="Inside Out 2 0089"/>
        <s v="Pushpa: The Rise 0090"/>
        <s v="Inception 0091"/>
        <s v="The Dark Knight 0092"/>
        <s v="Interstellar 0093"/>
        <s v="Avengers: Endgame 0094"/>
        <s v="Parasite 0095"/>
        <s v="3 Idiots 0096"/>
        <s v="Dangal 0097"/>
        <s v="RRR 0098"/>
        <s v="Joker 0099"/>
        <s v="Titanic 0100"/>
        <s v="Avatar 0101"/>
        <s v="The Godfather 0102"/>
        <s v="Toy Story 0103"/>
        <s v="Coco 0104"/>
        <s v="Frozen 0105"/>
        <s v="Black Panther 0106"/>
        <s v="La La Land 0107"/>
        <s v="Get Out 0108"/>
        <s v="A Quiet Place 0109"/>
        <s v="Top Gun: Maverick 0110"/>
        <s v="The Hangover 0111"/>
        <s v="Drishyam 0112"/>
        <s v="Andhadhun 0113"/>
        <s v="Kantara 0114"/>
        <s v="Everything Everywhere All at Once 0115"/>
        <s v="Oppenheimer 0116"/>
        <s v="Barbie 0117"/>
        <s v="Dune: Part Two 0118"/>
        <s v="Inside Out 2 0119"/>
        <s v="Pushpa: The Rise 0120"/>
        <s v="Inception 0121"/>
        <s v="The Dark Knight 0122"/>
        <s v="Interstellar 0123"/>
        <s v="Avengers: Endgame 0124"/>
        <s v="Parasite 0125"/>
        <s v="3 Idiots 0126"/>
        <s v="Dangal 0127"/>
        <s v="RRR 0128"/>
        <s v="Joker 0129"/>
        <s v="Titanic 0130"/>
        <s v="Avatar 0131"/>
        <s v="The Godfather 0132"/>
        <s v="Toy Story 0133"/>
        <s v="Coco 0134"/>
        <s v="Frozen 0135"/>
        <s v="Black Panther 0136"/>
        <s v="La La Land 0137"/>
        <s v="Get Out 0138"/>
        <s v="A Quiet Place 0139"/>
        <s v="Top Gun: Maverick 0140"/>
        <s v="The Hangover 0141"/>
        <s v="Drishyam 0142"/>
        <s v="Andhadhun 0143"/>
        <s v="Kantara 0144"/>
        <s v="Everything Everywhere All at Once 0145"/>
        <s v="Oppenheimer 0146"/>
        <s v="Barbie 0147"/>
        <s v="Dune: Part Two 0148"/>
        <s v="Inside Out 2 0149"/>
        <s v="Pushpa: The Rise 0150"/>
        <s v="Inception 0151"/>
        <s v="The Dark Knight 0152"/>
        <s v="Interstellar 0153"/>
        <s v="Avengers: Endgame 0154"/>
        <s v="Parasite 0155"/>
        <s v="3 Idiots 0156"/>
        <s v="Dangal 0157"/>
        <s v="RRR 0158"/>
        <s v="Joker 0159"/>
        <s v="Titanic 0160"/>
        <s v="Avatar 0161"/>
        <s v="The Godfather 0162"/>
        <s v="Toy Story 0163"/>
        <s v="Coco 0164"/>
        <s v="Frozen 0165"/>
        <s v="Black Panther 0166"/>
        <s v="La La Land 0167"/>
        <s v="Get Out 0168"/>
        <s v="A Quiet Place 0169"/>
        <s v="Top Gun: Maverick 0170"/>
        <s v="The Hangover 0171"/>
        <s v="Drishyam 0172"/>
        <s v="Andhadhun 0173"/>
        <s v="Kantara 0174"/>
        <s v="Everything Everywhere All at Once 0175"/>
        <s v="Oppenheimer 0176"/>
        <s v="Barbie 0177"/>
        <s v="Dune: Part Two 0178"/>
        <s v="Inside Out 2 0179"/>
        <s v="Pushpa: The Rise 0180"/>
        <s v="Inception 0181"/>
        <s v="The Dark Knight 0182"/>
        <s v="Interstellar 0183"/>
        <s v="Avengers: Endgame 0184"/>
        <s v="Parasite 0185"/>
        <s v="3 Idiots 0186"/>
        <s v="Dangal 0187"/>
        <s v="RRR 0188"/>
        <s v="Joker 0189"/>
        <s v="Titanic 0190"/>
        <s v="Avatar 0191"/>
        <s v="The Godfather 0192"/>
        <s v="Toy Story 0193"/>
        <s v="Coco 0194"/>
        <s v="Frozen 0195"/>
        <s v="Black Panther 0196"/>
        <s v="La La Land 0197"/>
        <s v="Get Out 0198"/>
        <s v="A Quiet Place 0199"/>
        <s v="Top Gun: Maverick 0200"/>
        <s v="The Hangover 0201"/>
        <s v="Drishyam 0202"/>
        <s v="Andhadhun 0203"/>
        <s v="Kantara 0204"/>
        <s v="Everything Everywhere All at Once 0205"/>
        <s v="Oppenheimer 0206"/>
        <s v="Barbie 0207"/>
        <s v="Dune: Part Two 0208"/>
        <s v="Inside Out 2 0209"/>
        <s v="Pushpa: The Rise 0210"/>
        <s v="Inception 0211"/>
        <s v="The Dark Knight 0212"/>
        <s v="Interstellar 0213"/>
        <s v="Avengers: Endgame 0214"/>
        <s v="Parasite 0215"/>
        <s v="3 Idiots 0216"/>
        <s v="Dangal 0217"/>
        <s v="RRR 0218"/>
        <s v="Joker 0219"/>
        <s v="Titanic 0220"/>
        <s v="Avatar 0221"/>
        <s v="The Godfather 0222"/>
        <s v="Toy Story 0223"/>
        <s v="Coco 0224"/>
        <s v="Frozen 0225"/>
        <s v="Black Panther 0226"/>
        <s v="La La Land 0227"/>
        <s v="Get Out 0228"/>
        <s v="A Quiet Place 0229"/>
        <s v="Top Gun: Maverick 0230"/>
        <s v="The Hangover 0231"/>
        <s v="Drishyam 0232"/>
        <s v="Andhadhun 0233"/>
        <s v="Kantara 0234"/>
        <s v="Everything Everywhere All at Once 0235"/>
        <s v="Oppenheimer 0236"/>
        <s v="Barbie 0237"/>
        <s v="Dune: Part Two 0238"/>
        <s v="Inside Out 2 0239"/>
        <s v="Pushpa: The Rise 0240"/>
        <s v="Inception 0241"/>
        <s v="The Dark Knight 0242"/>
        <s v="Interstellar 0243"/>
        <s v="Avengers: Endgame 0244"/>
        <s v="Parasite 0245"/>
        <s v="3 Idiots 0246"/>
        <s v="Dangal 0247"/>
        <s v="RRR 0248"/>
        <s v="Joker 0249"/>
        <s v="Titanic 0250"/>
        <s v="Avatar 0251"/>
        <s v="The Godfather 0252"/>
        <s v="Toy Story 0253"/>
        <s v="Coco 0254"/>
        <s v="Frozen 0255"/>
        <s v="Black Panther 0256"/>
        <s v="La La Land 0257"/>
        <s v="Get Out 0258"/>
        <s v="A Quiet Place 0259"/>
        <s v="Top Gun: Maverick 0260"/>
        <s v="The Hangover 0261"/>
        <s v="Drishyam 0262"/>
        <s v="Andhadhun 0263"/>
        <s v="Kantara 0264"/>
        <s v="Everything Everywhere All at Once 0265"/>
        <s v="Oppenheimer 0266"/>
        <s v="Barbie 0267"/>
        <s v="Dune: Part Two 0268"/>
        <s v="Inside Out 2 0269"/>
        <s v="Pushpa: The Rise 0270"/>
        <s v="Inception 0271"/>
        <s v="The Dark Knight 0272"/>
        <s v="Interstellar 0273"/>
        <s v="Avengers: Endgame 0274"/>
        <s v="Parasite 0275"/>
        <s v="3 Idiots 0276"/>
        <s v="Dangal 0277"/>
        <s v="RRR 0278"/>
        <s v="Joker 0279"/>
        <s v="Titanic 0280"/>
        <s v="Avatar 0281"/>
        <s v="The Godfather 0282"/>
        <s v="Toy Story 0283"/>
        <s v="Coco 0284"/>
        <s v="Frozen 0285"/>
        <s v="Black Panther 0286"/>
        <s v="La La Land 0287"/>
        <s v="Get Out 0288"/>
        <s v="A Quiet Place 0289"/>
        <s v="Top Gun: Maverick 0290"/>
        <s v="The Hangover 0291"/>
        <s v="Drishyam 0292"/>
        <s v="Andhadhun 0293"/>
        <s v="Kantara 0294"/>
        <s v="Everything Everywhere All at Once 0295"/>
        <s v="Oppenheimer 0296"/>
        <s v="Barbie 0297"/>
        <s v="Dune: Part Two 0298"/>
        <s v="Inside Out 2 0299"/>
        <s v="Pushpa: The Rise 0300"/>
        <s v="Inception 0301"/>
        <s v="The Dark Knight 0302"/>
        <s v="Interstellar 0303"/>
        <s v="Avengers: Endgame 0304"/>
        <s v="Parasite 0305"/>
        <s v="3 Idiots 0306"/>
        <s v="Dangal 0307"/>
        <s v="RRR 0308"/>
        <s v="Joker 0309"/>
        <s v="Titanic 0310"/>
        <s v="Avatar 0311"/>
        <s v="The Godfather 0312"/>
        <s v="Toy Story 0313"/>
        <s v="Coco 0314"/>
        <s v="Frozen 0315"/>
        <s v="Black Panther 0316"/>
        <s v="La La Land 0317"/>
        <s v="Get Out 0318"/>
        <s v="A Quiet Place 0319"/>
        <s v="Top Gun: Maverick 0320"/>
        <s v="The Hangover 0321"/>
        <s v="Drishyam 0322"/>
        <s v="Andhadhun 0323"/>
        <s v="Kantara 0324"/>
        <s v="Everything Everywhere All at Once 0325"/>
        <s v="Oppenheimer 0326"/>
        <s v="Barbie 0327"/>
        <s v="Dune: Part Two 0328"/>
        <s v="Inside Out 2 0329"/>
        <s v="Pushpa: The Rise 0330"/>
        <s v="Inception 0331"/>
        <s v="The Dark Knight 0332"/>
        <s v="Interstellar 0333"/>
        <s v="Avengers: Endgame 0334"/>
        <s v="Parasite 0335"/>
        <s v="3 Idiots 0336"/>
        <s v="Dangal 0337"/>
        <s v="RRR 0338"/>
        <s v="Joker 0339"/>
        <s v="Titanic 0340"/>
        <s v="Avatar 0341"/>
        <s v="The Godfather 0342"/>
        <s v="Toy Story 0343"/>
        <s v="Coco 0344"/>
        <s v="Frozen 0345"/>
        <s v="Black Panther 0346"/>
        <s v="La La Land 0347"/>
        <s v="Get Out 0348"/>
        <s v="A Quiet Place 0349"/>
        <s v="Top Gun: Maverick 0350"/>
        <s v="The Hangover 0351"/>
        <s v="Drishyam 0352"/>
        <s v="Andhadhun 0353"/>
        <s v="Kantara 0354"/>
        <s v="Everything Everywhere All at Once 0355"/>
        <s v="Oppenheimer 0356"/>
        <s v="Barbie 0357"/>
        <s v="Dune: Part Two 0358"/>
        <s v="Inside Out 2 0359"/>
        <s v="Pushpa: The Rise 0360"/>
        <s v="Inception 0361"/>
        <s v="The Dark Knight 0362"/>
        <s v="Interstellar 0363"/>
        <s v="Avengers: Endgame 0364"/>
        <s v="Parasite 0365"/>
        <s v="3 Idiots 0366"/>
        <s v="Dangal 0367"/>
        <s v="RRR 0368"/>
        <s v="Joker 0369"/>
        <s v="Titanic 0370"/>
        <s v="Avatar 0371"/>
        <s v="The Godfather 0372"/>
        <s v="Toy Story 0373"/>
        <s v="Coco 0374"/>
        <s v="Frozen 0375"/>
        <s v="Black Panther 0376"/>
        <s v="La La Land 0377"/>
        <s v="Get Out 0378"/>
        <s v="A Quiet Place 0379"/>
        <s v="Top Gun: Maverick 0380"/>
        <s v="The Hangover 0381"/>
        <s v="Drishyam 0382"/>
        <s v="Andhadhun 0383"/>
        <s v="Kantara 0384"/>
        <s v="Everything Everywhere All at Once 0385"/>
        <s v="Oppenheimer 0386"/>
        <s v="Barbie 0387"/>
        <s v="Dune: Part Two 0388"/>
        <s v="Inside Out 2 0389"/>
        <s v="Pushpa: The Rise 0390"/>
        <s v="Inception 0391"/>
        <s v="The Dark Knight 0392"/>
        <s v="Interstellar 0393"/>
        <s v="Avengers: Endgame 0394"/>
        <s v="Parasite 0395"/>
        <s v="3 Idiots 0396"/>
        <s v="Dangal 0397"/>
        <s v="RRR 0398"/>
        <s v="Joker 0399"/>
        <s v="Titanic 0400"/>
        <s v="Avatar 0401"/>
        <s v="The Godfather 0402"/>
        <s v="Toy Story 0403"/>
        <s v="Coco 0404"/>
        <s v="Frozen 0405"/>
        <s v="Black Panther 0406"/>
        <s v="La La Land 0407"/>
        <s v="Get Out 0408"/>
        <s v="A Quiet Place 0409"/>
        <s v="Top Gun: Maverick 0410"/>
        <s v="The Hangover 0411"/>
        <s v="Drishyam 0412"/>
        <s v="Andhadhun 0413"/>
        <s v="Kantara 0414"/>
        <s v="Everything Everywhere All at Once 0415"/>
        <s v="Oppenheimer 0416"/>
        <s v="Barbie 0417"/>
        <s v="Dune: Part Two 0418"/>
        <s v="Inside Out 2 0419"/>
        <s v="Pushpa: The Rise 0420"/>
        <s v="Inception 0421"/>
        <s v="The Dark Knight 0422"/>
        <s v="Interstellar 0423"/>
        <s v="Avengers: Endgame 0424"/>
        <s v="Parasite 0425"/>
        <s v="3 Idiots 0426"/>
        <s v="Dangal 0427"/>
        <s v="RRR 0428"/>
        <s v="Joker 0429"/>
        <s v="Titanic 0430"/>
        <s v="Avatar 0431"/>
        <s v="The Godfather 0432"/>
        <s v="Toy Story 0433"/>
        <s v="Coco 0434"/>
        <s v="Frozen 0435"/>
        <s v="Black Panther 0436"/>
        <s v="La La Land 0437"/>
        <s v="Get Out 0438"/>
        <s v="A Quiet Place 0439"/>
        <s v="Top Gun: Maverick 0440"/>
        <s v="The Hangover 0441"/>
        <s v="Drishyam 0442"/>
        <s v="Andhadhun 0443"/>
        <s v="Kantara 0444"/>
        <s v="Everything Everywhere All at Once 0445"/>
        <s v="Oppenheimer 0446"/>
        <s v="Barbie 0447"/>
        <s v="Dune: Part Two 0448"/>
        <s v="Inside Out 2 0449"/>
        <s v="Pushpa: The Rise 0450"/>
        <s v="Inception 0451"/>
        <s v="The Dark Knight 0452"/>
        <s v="Interstellar 0453"/>
        <s v="Avengers: Endgame 0454"/>
        <s v="Parasite 0455"/>
        <s v="3 Idiots 0456"/>
        <s v="Dangal 0457"/>
        <s v="RRR 0458"/>
        <s v="Joker 0459"/>
        <s v="Titanic 0460"/>
        <s v="Avatar 0461"/>
        <s v="The Godfather 0462"/>
        <s v="Toy Story 0463"/>
        <s v="Coco 0464"/>
        <s v="Frozen 0465"/>
        <s v="Black Panther 0466"/>
        <s v="La La Land 0467"/>
        <s v="Get Out 0468"/>
        <s v="A Quiet Place 0469"/>
        <s v="Top Gun: Maverick 0470"/>
        <s v="The Hangover 0471"/>
        <s v="Drishyam 0472"/>
        <s v="Andhadhun 0473"/>
        <s v="Kantara 0474"/>
        <s v="Everything Everywhere All at Once 0475"/>
        <s v="Oppenheimer 0476"/>
        <s v="Barbie 0477"/>
        <s v="Dune: Part Two 0478"/>
        <s v="Inside Out 2 0479"/>
        <s v="Pushpa: The Rise 0480"/>
        <s v="Inception 0481"/>
        <s v="The Dark Knight 0482"/>
        <s v="Interstellar 0483"/>
        <s v="Avengers: Endgame 0484"/>
        <s v="Parasite 0485"/>
        <s v="3 Idiots 0486"/>
        <s v="Dangal 0487"/>
        <s v="RRR 0488"/>
        <s v="Joker 0489"/>
        <s v="Titanic 0490"/>
        <s v="Avatar 0491"/>
        <s v="The Godfather 0492"/>
        <s v="Toy Story 0493"/>
        <s v="Coco 0494"/>
        <s v="Frozen 0495"/>
        <s v="Black Panther 0496"/>
        <s v="La La Land 0497"/>
        <s v="Get Out 0498"/>
        <s v="A Quiet Place 0499"/>
        <s v="Top Gun: Maverick 0500"/>
        <s v="The Hangover 0501"/>
        <s v="Drishyam 0502"/>
        <s v="Andhadhun 0503"/>
        <s v="Kantara 0504"/>
        <s v="Everything Everywhere All at Once 0505"/>
        <s v="Oppenheimer 0506"/>
        <s v="Barbie 0507"/>
        <s v="Dune: Part Two 0508"/>
        <s v="Inside Out 2 0509"/>
        <s v="Pushpa: The Rise 0510"/>
        <s v="Inception 0511"/>
        <s v="The Dark Knight 0512"/>
        <s v="Interstellar 0513"/>
        <s v="Avengers: Endgame 0514"/>
        <s v="Parasite 0515"/>
        <s v="3 Idiots 0516"/>
        <s v="Dangal 0517"/>
        <s v="RRR 0518"/>
        <s v="Joker 0519"/>
        <s v="Titanic 0520"/>
        <s v="Avatar 0521"/>
        <s v="The Godfather 0522"/>
        <s v="Toy Story 0523"/>
        <s v="Coco 0524"/>
        <s v="Frozen 0525"/>
        <s v="Black Panther 0526"/>
        <s v="La La Land 0527"/>
        <s v="Get Out 0528"/>
        <s v="A Quiet Place 0529"/>
        <s v="Top Gun: Maverick 0530"/>
        <s v="The Hangover 0531"/>
        <s v="Drishyam 0532"/>
        <s v="Andhadhun 0533"/>
        <s v="Kantara 0534"/>
        <s v="Everything Everywhere All at Once 0535"/>
        <s v="Oppenheimer 0536"/>
        <s v="Barbie 0537"/>
        <s v="Dune: Part Two 0538"/>
        <s v="Inside Out 2 0539"/>
        <s v="Pushpa: The Rise 0540"/>
        <s v="Inception 0541"/>
        <s v="The Dark Knight 0542"/>
        <s v="Interstellar 0543"/>
        <s v="Avengers: Endgame 0544"/>
        <s v="Parasite 0545"/>
        <s v="3 Idiots 0546"/>
        <s v="Dangal 0547"/>
        <s v="RRR 0548"/>
        <s v="Joker 0549"/>
        <s v="Titanic 0550"/>
        <s v="Avatar 0551"/>
        <s v="The Godfather 0552"/>
        <s v="Toy Story 0553"/>
        <s v="Coco 0554"/>
        <s v="Frozen 0555"/>
        <s v="Black Panther 0556"/>
        <s v="La La Land 0557"/>
        <s v="Get Out 0558"/>
        <s v="A Quiet Place 0559"/>
        <s v="Top Gun: Maverick 0560"/>
        <s v="The Hangover 0561"/>
        <s v="Drishyam 0562"/>
        <s v="Andhadhun 0563"/>
        <s v="Kantara 0564"/>
        <s v="Everything Everywhere All at Once 0565"/>
        <s v="Oppenheimer 0566"/>
        <s v="Barbie 0567"/>
        <s v="Dune: Part Two 0568"/>
        <s v="Inside Out 2 0569"/>
        <s v="Pushpa: The Rise 0570"/>
        <s v="Inception 0571"/>
        <s v="The Dark Knight 0572"/>
        <s v="Interstellar 0573"/>
        <s v="Avengers: Endgame 0574"/>
        <s v="Parasite 0575"/>
        <s v="3 Idiots 0576"/>
        <s v="Dangal 0577"/>
        <s v="RRR 0578"/>
        <s v="Joker 0579"/>
        <s v="Titanic 0580"/>
        <s v="Avatar 0581"/>
        <s v="The Godfather 0582"/>
        <s v="Toy Story 0583"/>
        <s v="Coco 0584"/>
        <s v="Frozen 0585"/>
        <s v="Black Panther 0586"/>
        <s v="La La Land 0587"/>
        <s v="Get Out 0588"/>
        <s v="A Quiet Place 0589"/>
        <s v="Top Gun: Maverick 0590"/>
        <s v="The Hangover 0591"/>
        <s v="Drishyam 0592"/>
        <s v="Andhadhun 0593"/>
        <s v="Kantara 0594"/>
        <s v="Everything Everywhere All at Once 0595"/>
        <s v="Oppenheimer 0596"/>
        <s v="Barbie 0597"/>
        <s v="Dune: Part Two 0598"/>
        <s v="Inside Out 2 0599"/>
        <s v="Pushpa: The Rise 0600"/>
        <s v="Inception 0601"/>
        <s v="The Dark Knight 0602"/>
        <s v="Interstellar 0603"/>
        <s v="Avengers: Endgame 0604"/>
        <s v="Parasite 0605"/>
        <s v="3 Idiots 0606"/>
        <s v="Dangal 0607"/>
        <s v="RRR 0608"/>
        <s v="Joker 0609"/>
        <s v="Titanic 0610"/>
        <s v="Avatar 0611"/>
        <s v="The Godfather 0612"/>
        <s v="Toy Story 0613"/>
        <s v="Coco 0614"/>
        <s v="Frozen 0615"/>
        <s v="Black Panther 0616"/>
        <s v="La La Land 0617"/>
        <s v="Get Out 0618"/>
        <s v="A Quiet Place 0619"/>
        <s v="Top Gun: Maverick 0620"/>
        <s v="The Hangover 0621"/>
        <s v="Drishyam 0622"/>
        <s v="Andhadhun 0623"/>
        <s v="Kantara 0624"/>
        <s v="Everything Everywhere All at Once 0625"/>
        <s v="Oppenheimer 0626"/>
        <s v="Barbie 0627"/>
        <s v="Dune: Part Two 0628"/>
        <s v="Inside Out 2 0629"/>
        <s v="Pushpa: The Rise 0630"/>
        <s v="Inception 0631"/>
        <s v="The Dark Knight 0632"/>
        <s v="Interstellar 0633"/>
        <s v="Avengers: Endgame 0634"/>
        <s v="Parasite 0635"/>
        <s v="3 Idiots 0636"/>
        <s v="Dangal 0637"/>
        <s v="RRR 0638"/>
        <s v="Joker 0639"/>
        <s v="Titanic 0640"/>
        <s v="Avatar 0641"/>
        <s v="The Godfather 0642"/>
        <s v="Toy Story 0643"/>
        <s v="Coco 0644"/>
        <s v="Frozen 0645"/>
        <s v="Black Panther 0646"/>
        <s v="La La Land 0647"/>
        <s v="Get Out 0648"/>
        <s v="A Quiet Place 0649"/>
        <s v="Top Gun: Maverick 0650"/>
        <s v="The Hangover 0651"/>
        <s v="Drishyam 0652"/>
        <s v="Andhadhun 0653"/>
        <s v="Kantara 0654"/>
        <s v="Everything Everywhere All at Once 0655"/>
        <s v="Oppenheimer 0656"/>
        <s v="Barbie 0657"/>
        <s v="Dune: Part Two 0658"/>
        <s v="Inside Out 2 0659"/>
        <s v="Pushpa: The Rise 0660"/>
        <s v="Inception 0661"/>
        <s v="The Dark Knight 0662"/>
        <s v="Interstellar 0663"/>
        <s v="Avengers: Endgame 0664"/>
        <s v="Parasite 0665"/>
        <s v="3 Idiots 0666"/>
        <s v="Dangal 0667"/>
        <s v="RRR 0668"/>
        <s v="Joker 0669"/>
        <s v="Titanic 0670"/>
        <s v="Avatar 0671"/>
        <s v="The Godfather 0672"/>
        <s v="Toy Story 0673"/>
        <s v="Coco 0674"/>
        <s v="Frozen 0675"/>
        <s v="Black Panther 0676"/>
        <s v="La La Land 0677"/>
        <s v="Get Out 0678"/>
        <s v="A Quiet Place 0679"/>
        <s v="Top Gun: Maverick 0680"/>
        <s v="The Hangover 0681"/>
        <s v="Drishyam 0682"/>
        <s v="Andhadhun 0683"/>
        <s v="Kantara 0684"/>
        <s v="Everything Everywhere All at Once 0685"/>
        <s v="Oppenheimer 0686"/>
        <s v="Barbie 0687"/>
        <s v="Dune: Part Two 0688"/>
        <s v="Inside Out 2 0689"/>
        <s v="Pushpa: The Rise 0690"/>
        <s v="Inception 0691"/>
        <s v="The Dark Knight 0692"/>
        <s v="Interstellar 0693"/>
        <s v="Avengers: Endgame 0694"/>
        <s v="Parasite 0695"/>
        <s v="3 Idiots 0696"/>
        <s v="Dangal 0697"/>
        <s v="RRR 0698"/>
        <s v="Joker 0699"/>
        <s v="Titanic 0700"/>
        <s v="Avatar 0701"/>
        <s v="The Godfather 0702"/>
        <s v="Toy Story 0703"/>
        <s v="Coco 0704"/>
        <s v="Frozen 0705"/>
        <s v="Black Panther 0706"/>
        <s v="La La Land 0707"/>
        <s v="Get Out 0708"/>
        <s v="A Quiet Place 0709"/>
        <s v="Top Gun: Maverick 0710"/>
        <s v="The Hangover 0711"/>
        <s v="Drishyam 0712"/>
        <s v="Andhadhun 0713"/>
        <s v="Kantara 0714"/>
        <s v="Everything Everywhere All at Once 0715"/>
        <s v="Oppenheimer 0716"/>
        <s v="Barbie 0717"/>
        <s v="Dune: Part Two 0718"/>
        <s v="Inside Out 2 0719"/>
        <s v="Pushpa: The Rise 0720"/>
        <s v="Inception 0721"/>
        <s v="The Dark Knight 0722"/>
        <s v="Interstellar 0723"/>
        <s v="Avengers: Endgame 0724"/>
        <s v="Parasite 0725"/>
        <s v="3 Idiots 0726"/>
        <s v="Dangal 0727"/>
        <s v="RRR 0728"/>
        <s v="Joker 0729"/>
        <s v="Titanic 0730"/>
        <s v="Avatar 0731"/>
        <s v="The Godfather 0732"/>
        <s v="Toy Story 0733"/>
        <s v="Coco 0734"/>
        <s v="Frozen 0735"/>
        <s v="Black Panther 0736"/>
        <s v="La La Land 0737"/>
        <s v="Get Out 0738"/>
        <s v="A Quiet Place 0739"/>
        <s v="Top Gun: Maverick 0740"/>
        <s v="The Hangover 0741"/>
        <s v="Drishyam 0742"/>
        <s v="Andhadhun 0743"/>
        <s v="Kantara 0744"/>
        <s v="Everything Everywhere All at Once 0745"/>
        <s v="Oppenheimer 0746"/>
        <s v="Barbie 0747"/>
        <s v="Dune: Part Two 0748"/>
        <s v="Inside Out 2 0749"/>
        <s v="Pushpa: The Rise 0750"/>
        <s v="Inception 0751"/>
        <s v="The Dark Knight 0752"/>
        <s v="Interstellar 0753"/>
        <s v="Avengers: Endgame 0754"/>
        <s v="Parasite 0755"/>
        <s v="3 Idiots 0756"/>
        <s v="Dangal 0757"/>
        <s v="RRR 0758"/>
        <s v="Joker 0759"/>
        <s v="Titanic 0760"/>
        <s v="Avatar 0761"/>
        <s v="The Godfather 0762"/>
        <s v="Toy Story 0763"/>
        <s v="Coco 0764"/>
        <s v="Frozen 0765"/>
        <s v="Black Panther 0766"/>
        <s v="La La Land 0767"/>
        <s v="Get Out 0768"/>
        <s v="A Quiet Place 0769"/>
        <s v="Top Gun: Maverick 0770"/>
        <s v="The Hangover 0771"/>
        <s v="Drishyam 0772"/>
        <s v="Andhadhun 0773"/>
        <s v="Kantara 0774"/>
        <s v="Everything Everywhere All at Once 0775"/>
        <s v="Oppenheimer 0776"/>
        <s v="Barbie 0777"/>
        <s v="Dune: Part Two 0778"/>
        <s v="Inside Out 2 0779"/>
        <s v="Pushpa: The Rise 0780"/>
        <s v="Inception 0781"/>
        <s v="The Dark Knight 0782"/>
        <s v="Interstellar 0783"/>
        <s v="Avengers: Endgame 0784"/>
        <s v="Parasite 0785"/>
        <s v="3 Idiots 0786"/>
        <s v="Dangal 0787"/>
        <s v="RRR 0788"/>
        <s v="Joker 0789"/>
        <s v="Titanic 0790"/>
        <s v="Avatar 0791"/>
        <s v="The Godfather 0792"/>
        <s v="Toy Story 0793"/>
        <s v="Coco 0794"/>
        <s v="Frozen 0795"/>
        <s v="Black Panther 0796"/>
        <s v="La La Land 0797"/>
        <s v="Get Out 0798"/>
        <s v="A Quiet Place 0799"/>
        <s v="Top Gun: Maverick 0800"/>
        <s v="The Hangover 0801"/>
        <s v="Drishyam 0802"/>
        <s v="Andhadhun 0803"/>
        <s v="Kantara 0804"/>
        <s v="Everything Everywhere All at Once 0805"/>
        <s v="Oppenheimer 0806"/>
        <s v="Barbie 0807"/>
        <s v="Dune: Part Two 0808"/>
        <s v="Inside Out 2 0809"/>
        <s v="Pushpa: The Rise 0810"/>
        <s v="Inception 0811"/>
        <s v="The Dark Knight 0812"/>
        <s v="Interstellar 0813"/>
        <s v="Avengers: Endgame 0814"/>
        <s v="Parasite 0815"/>
        <s v="3 Idiots 0816"/>
        <s v="Dangal 0817"/>
        <s v="RRR 0818"/>
        <s v="Joker 0819"/>
        <s v="Titanic 0820"/>
        <s v="Avatar 0821"/>
        <s v="The Godfather 0822"/>
        <s v="Toy Story 0823"/>
        <s v="Coco 0824"/>
        <s v="Frozen 0825"/>
        <s v="Black Panther 0826"/>
        <s v="La La Land 0827"/>
        <s v="Get Out 0828"/>
        <s v="A Quiet Place 0829"/>
        <s v="Top Gun: Maverick 0830"/>
        <s v="The Hangover 0831"/>
        <s v="Drishyam 0832"/>
        <s v="Andhadhun 0833"/>
        <s v="Kantara 0834"/>
        <s v="Everything Everywhere All at Once 0835"/>
        <s v="Oppenheimer 0836"/>
        <s v="Barbie 0837"/>
        <s v="Dune: Part Two 0838"/>
        <s v="Inside Out 2 0839"/>
        <s v="Pushpa: The Rise 0840"/>
        <s v="Inception 0841"/>
        <s v="The Dark Knight 0842"/>
        <s v="Interstellar 0843"/>
        <s v="Avengers: Endgame 0844"/>
        <s v="Parasite 0845"/>
        <s v="3 Idiots 0846"/>
        <s v="Dangal 0847"/>
        <s v="RRR 0848"/>
        <s v="Joker 0849"/>
        <s v="Titanic 0850"/>
        <s v="Avatar 0851"/>
        <s v="The Godfather 0852"/>
        <s v="Toy Story 0853"/>
        <s v="Coco 0854"/>
        <s v="Frozen 0855"/>
        <s v="Black Panther 0856"/>
        <s v="La La Land 0857"/>
        <s v="Get Out 0858"/>
        <s v="A Quiet Place 0859"/>
        <s v="Top Gun: Maverick 0860"/>
        <s v="The Hangover 0861"/>
        <s v="Drishyam 0862"/>
        <s v="Andhadhun 0863"/>
        <s v="Kantara 0864"/>
        <s v="Everything Everywhere All at Once 0865"/>
        <s v="Oppenheimer 0866"/>
        <s v="Barbie 0867"/>
        <s v="Dune: Part Two 0868"/>
        <s v="Inside Out 2 0869"/>
        <s v="Pushpa: The Rise 0870"/>
        <s v="Inception 0871"/>
        <s v="The Dark Knight 0872"/>
        <s v="Interstellar 0873"/>
        <s v="Avengers: Endgame 0874"/>
        <s v="Parasite 0875"/>
        <s v="3 Idiots 0876"/>
        <s v="Dangal 0877"/>
        <s v="RRR 0878"/>
        <s v="Joker 0879"/>
        <s v="Titanic 0880"/>
        <s v="Avatar 0881"/>
        <s v="The Godfather 0882"/>
        <s v="Toy Story 0883"/>
        <s v="Coco 0884"/>
        <s v="Frozen 0885"/>
        <s v="Black Panther 0886"/>
        <s v="La La Land 0887"/>
        <s v="Get Out 0888"/>
        <s v="A Quiet Place 0889"/>
        <s v="Top Gun: Maverick 0890"/>
        <s v="The Hangover 0891"/>
        <s v="Drishyam 0892"/>
        <s v="Andhadhun 0893"/>
        <s v="Kantara 0894"/>
        <s v="Everything Everywhere All at Once 0895"/>
        <s v="Oppenheimer 0896"/>
        <s v="Barbie 0897"/>
        <s v="Dune: Part Two 0898"/>
        <s v="Inside Out 2 0899"/>
        <s v="Pushpa: The Rise 0900"/>
        <s v="Inception 0901"/>
        <s v="The Dark Knight 0902"/>
        <s v="Interstellar 0903"/>
        <s v="Avengers: Endgame 0904"/>
        <s v="Parasite 0905"/>
        <s v="3 Idiots 0906"/>
        <s v="Dangal 0907"/>
        <s v="RRR 0908"/>
        <s v="Joker 0909"/>
        <s v="Titanic 0910"/>
        <s v="Avatar 0911"/>
        <s v="The Godfather 0912"/>
        <s v="Toy Story 0913"/>
        <s v="Coco 0914"/>
        <s v="Frozen 0915"/>
        <s v="Black Panther 0916"/>
        <s v="La La Land 0917"/>
        <s v="Get Out 0918"/>
        <s v="A Quiet Place 0919"/>
        <s v="Top Gun: Maverick 0920"/>
        <s v="The Hangover 0921"/>
        <s v="Drishyam 0922"/>
        <s v="Andhadhun 0923"/>
        <s v="Kantara 0924"/>
        <s v="Everything Everywhere All at Once 0925"/>
        <s v="Oppenheimer 0926"/>
        <s v="Barbie 0927"/>
        <s v="Dune: Part Two 0928"/>
        <s v="Inside Out 2 0929"/>
        <s v="Pushpa: The Rise 0930"/>
        <s v="Inception 0931"/>
        <s v="The Dark Knight 0932"/>
        <s v="Interstellar 0933"/>
        <s v="Avengers: Endgame 0934"/>
        <s v="Parasite 0935"/>
        <s v="3 Idiots 0936"/>
        <s v="Dangal 0937"/>
        <s v="RRR 0938"/>
        <s v="Joker 0939"/>
        <s v="Titanic 0940"/>
        <s v="Avatar 0941"/>
        <s v="The Godfather 0942"/>
        <s v="Toy Story 0943"/>
        <s v="Coco 0944"/>
        <s v="Frozen 0945"/>
        <s v="Black Panther 0946"/>
        <s v="La La Land 0947"/>
        <s v="Get Out 0948"/>
        <s v="A Quiet Place 0949"/>
        <s v="Top Gun: Maverick 0950"/>
        <s v="The Hangover 0951"/>
        <s v="Drishyam 0952"/>
        <s v="Andhadhun 0953"/>
        <s v="Kantara 0954"/>
        <s v="Everything Everywhere All at Once 0955"/>
        <s v="Oppenheimer 0956"/>
        <s v="Barbie 0957"/>
        <s v="Dune: Part Two 0958"/>
        <s v="Inside Out 2 0959"/>
        <s v="Pushpa: The Rise 0960"/>
        <s v="Inception 0961"/>
        <s v="The Dark Knight 0962"/>
        <s v="Interstellar 0963"/>
        <s v="Avengers: Endgame 0964"/>
        <s v="Parasite 0965"/>
        <s v="3 Idiots 0966"/>
        <s v="Dangal 0967"/>
        <s v="RRR 0968"/>
        <s v="Joker 0969"/>
        <s v="Titanic 0970"/>
        <s v="Avatar 0971"/>
        <s v="The Godfather 0972"/>
        <s v="Toy Story 0973"/>
        <s v="Coco 0974"/>
        <s v="Frozen 0975"/>
        <s v="Black Panther 0976"/>
        <s v="La La Land 0977"/>
        <s v="Get Out 0978"/>
        <s v="A Quiet Place 0979"/>
        <s v="Top Gun: Maverick 0980"/>
        <s v="The Hangover 0981"/>
        <s v="Drishyam 0982"/>
        <s v="Andhadhun 0983"/>
        <s v="Kantara 0984"/>
        <s v="Everything Everywhere All at Once 0985"/>
        <s v="Oppenheimer 0986"/>
        <s v="Barbie 0987"/>
        <s v="Dune: Part Two 0988"/>
        <s v="Inside Out 2 0989"/>
        <s v="Pushpa: The Rise 0990"/>
        <s v="Inception 0991"/>
        <s v="The Dark Knight 0992"/>
        <s v="Interstellar 0993"/>
        <s v="Avengers: Endgame 0994"/>
        <s v="Parasite 0995"/>
        <s v="3 Idiots 0996"/>
        <s v="Dangal 0997"/>
        <s v="RRR 0998"/>
        <s v="Joker 0999"/>
        <s v="Titanic 1000"/>
      </sharedItems>
    </cacheField>
    <cacheField name="Release_Year" numFmtId="0">
      <sharedItems containsSemiMixedTypes="0" containsString="0" containsNumber="1" containsInteger="1" minValue="1990" maxValue="2025" count="36">
        <n v="2018"/>
        <n v="2010"/>
        <n v="2017"/>
        <n v="1998"/>
        <n v="2012"/>
        <n v="2000"/>
        <n v="2022"/>
        <n v="2024"/>
        <n v="2004"/>
        <n v="2021"/>
        <n v="2011"/>
        <n v="2019"/>
        <n v="2002"/>
        <n v="2013"/>
        <n v="2006"/>
        <n v="2015"/>
        <n v="2023"/>
        <n v="1992"/>
        <n v="2007"/>
        <n v="1991"/>
        <n v="2009"/>
        <n v="1997"/>
        <n v="2014"/>
        <n v="2016"/>
        <n v="2005"/>
        <n v="1994"/>
        <n v="1990"/>
        <n v="1999"/>
        <n v="2025"/>
        <n v="2003"/>
        <n v="2020"/>
        <n v="1996"/>
        <n v="1995"/>
        <n v="2001"/>
        <n v="1993"/>
        <n v="2008"/>
      </sharedItems>
    </cacheField>
    <cacheField name="Genre" numFmtId="0">
      <sharedItems count="10">
        <s v="Comedy"/>
        <s v="Sci-Fi"/>
        <s v="Adventure"/>
        <s v="Action"/>
        <s v="Horror"/>
        <s v="Romance"/>
        <s v="Thriller"/>
        <s v="Animation"/>
        <s v="Crime"/>
        <s v="Drama"/>
      </sharedItems>
    </cacheField>
    <cacheField name="Country" numFmtId="0">
      <sharedItems count="8">
        <s v="South Korea"/>
        <s v="India"/>
        <s v="USA"/>
        <s v="Japan"/>
        <s v="France"/>
        <s v="Canada"/>
        <s v="UK"/>
        <s v="Australia"/>
      </sharedItems>
    </cacheField>
    <cacheField name="Runtime_Min" numFmtId="0">
      <sharedItems containsSemiMixedTypes="0" containsString="0" containsNumber="1" containsInteger="1" minValue="75" maxValue="195" count="116">
        <n v="131"/>
        <n v="138"/>
        <n v="128"/>
        <n v="145"/>
        <n v="154"/>
        <n v="183"/>
        <n v="143"/>
        <n v="130"/>
        <n v="134"/>
        <n v="101"/>
        <n v="161"/>
        <n v="114"/>
        <n v="117"/>
        <n v="88"/>
        <n v="124"/>
        <n v="119"/>
        <n v="160"/>
        <n v="111"/>
        <n v="140"/>
        <n v="94"/>
        <n v="155"/>
        <n v="115"/>
        <n v="146"/>
        <n v="103"/>
        <n v="112"/>
        <n v="152"/>
        <n v="109"/>
        <n v="129"/>
        <n v="78"/>
        <n v="159"/>
        <n v="148"/>
        <n v="150"/>
        <n v="142"/>
        <n v="126"/>
        <n v="157"/>
        <n v="127"/>
        <n v="164"/>
        <n v="89"/>
        <n v="107"/>
        <n v="104"/>
        <n v="105"/>
        <n v="123"/>
        <n v="125"/>
        <n v="85"/>
        <n v="99"/>
        <n v="102"/>
        <n v="144"/>
        <n v="95"/>
        <n v="132"/>
        <n v="90"/>
        <n v="169"/>
        <n v="156"/>
        <n v="139"/>
        <n v="118"/>
        <n v="172"/>
        <n v="141"/>
        <n v="191"/>
        <n v="121"/>
        <n v="136"/>
        <n v="147"/>
        <n v="158"/>
        <n v="110"/>
        <n v="133"/>
        <n v="91"/>
        <n v="84"/>
        <n v="98"/>
        <n v="93"/>
        <n v="77"/>
        <n v="113"/>
        <n v="122"/>
        <n v="120"/>
        <n v="75"/>
        <n v="137"/>
        <n v="108"/>
        <n v="167"/>
        <n v="179"/>
        <n v="86"/>
        <n v="92"/>
        <n v="174"/>
        <n v="116"/>
        <n v="100"/>
        <n v="83"/>
        <n v="186"/>
        <n v="97"/>
        <n v="80"/>
        <n v="182"/>
        <n v="175"/>
        <n v="176"/>
        <n v="76"/>
        <n v="170"/>
        <n v="181"/>
        <n v="149"/>
        <n v="192"/>
        <n v="151"/>
        <n v="79"/>
        <n v="106"/>
        <n v="166"/>
        <n v="82"/>
        <n v="195"/>
        <n v="96"/>
        <n v="81"/>
        <n v="173"/>
        <n v="135"/>
        <n v="162"/>
        <n v="187"/>
        <n v="163"/>
        <n v="185"/>
        <n v="153"/>
        <n v="168"/>
        <n v="165"/>
        <n v="177"/>
        <n v="184"/>
        <n v="87"/>
        <n v="188"/>
        <n v="171"/>
        <n v="189"/>
      </sharedItems>
      <fieldGroup base="5">
        <rangePr autoStart="0" autoEnd="0" startNum="70" endNum="250" groupInterval="30"/>
        <groupItems count="8">
          <s v="&lt;70"/>
          <s v="70-99"/>
          <s v="100-129"/>
          <s v="130-159"/>
          <s v="160-189"/>
          <s v="190-219"/>
          <s v="220-250"/>
          <s v="&gt;250"/>
        </groupItems>
      </fieldGroup>
    </cacheField>
    <cacheField name="Budget_Million_USD" numFmtId="164">
      <sharedItems containsSemiMixedTypes="0" containsString="0" containsNumber="1" minValue="1.5" maxValue="400" count="701">
        <n v="138.69999999999999"/>
        <n v="22.1"/>
        <n v="63.3"/>
        <n v="58.5"/>
        <n v="26"/>
        <n v="113.1"/>
        <n v="145.1"/>
        <n v="15.9"/>
        <n v="101.7"/>
        <n v="132.5"/>
        <n v="206"/>
        <n v="69.400000000000006"/>
        <n v="44.1"/>
        <n v="14.6"/>
        <n v="107.7"/>
        <n v="24.3"/>
        <n v="186.3"/>
        <n v="30.3"/>
        <n v="38.799999999999997"/>
        <n v="66.400000000000006"/>
        <n v="27.3"/>
        <n v="119.6"/>
        <n v="24.1"/>
        <n v="99.4"/>
        <n v="64.2"/>
        <n v="24.2"/>
        <n v="16.100000000000001"/>
        <n v="83.1"/>
        <n v="20.9"/>
        <n v="104.7"/>
        <n v="143.30000000000001"/>
        <n v="4.9000000000000004"/>
        <n v="6.3"/>
        <n v="22.3"/>
        <n v="36.4"/>
        <n v="168"/>
        <n v="50.4"/>
        <n v="18.8"/>
        <n v="12.5"/>
        <n v="48.7"/>
        <n v="152.5"/>
        <n v="47.1"/>
        <n v="5.5"/>
        <n v="19"/>
        <n v="120.7"/>
        <n v="51.5"/>
        <n v="35.200000000000003"/>
        <n v="104.1"/>
        <n v="125.1"/>
        <n v="82.1"/>
        <n v="62.7"/>
        <n v="22"/>
        <n v="29.2"/>
        <n v="335.9"/>
        <n v="23.8"/>
        <n v="113.4"/>
        <n v="46.5"/>
        <n v="19.7"/>
        <n v="67.3"/>
        <n v="1.5"/>
        <n v="9.8000000000000007"/>
        <n v="143.80000000000001"/>
        <n v="32.6"/>
        <n v="3.1"/>
        <n v="99"/>
        <n v="103.2"/>
        <n v="52.4"/>
        <n v="22.7"/>
        <n v="2.2999999999999998"/>
        <n v="36.5"/>
        <n v="128.69999999999999"/>
        <n v="20.7"/>
        <n v="99.1"/>
        <n v="67.400000000000006"/>
        <n v="61.5"/>
        <n v="14.8"/>
        <n v="65.5"/>
        <n v="138.30000000000001"/>
        <n v="10.3"/>
        <n v="96.9"/>
        <n v="102.6"/>
        <n v="15.3"/>
        <n v="153.30000000000001"/>
        <n v="24.8"/>
        <n v="46.6"/>
        <n v="62.3"/>
        <n v="41.4"/>
        <n v="147.69999999999999"/>
        <n v="120.5"/>
        <n v="20.6"/>
        <n v="66.2"/>
        <n v="50.8"/>
        <n v="34"/>
        <n v="55.1"/>
        <n v="53.6"/>
        <n v="17.3"/>
        <n v="28.9"/>
        <n v="124.8"/>
        <n v="158.1"/>
        <n v="12.4"/>
        <n v="40.700000000000003"/>
        <n v="98.3"/>
        <n v="128.80000000000001"/>
        <n v="5.7"/>
        <n v="59.1"/>
        <n v="72.5"/>
        <n v="224.9"/>
        <n v="20"/>
        <n v="67"/>
        <n v="400"/>
        <n v="8.5"/>
        <n v="139"/>
        <n v="8.9"/>
        <n v="212.5"/>
        <n v="121.3"/>
        <n v="49.1"/>
        <n v="14.2"/>
        <n v="77.8"/>
        <n v="101.5"/>
        <n v="77.2"/>
        <n v="15.7"/>
        <n v="161"/>
        <n v="48"/>
        <n v="85.6"/>
        <n v="146.1"/>
        <n v="7"/>
        <n v="42.5"/>
        <n v="17.5"/>
        <n v="176.1"/>
        <n v="21.3"/>
        <n v="63"/>
        <n v="45.7"/>
        <n v="56.8"/>
        <n v="6.6"/>
        <n v="70.8"/>
        <n v="46"/>
        <n v="56.5"/>
        <n v="11.9"/>
        <n v="130.80000000000001"/>
        <n v="26.3"/>
        <n v="33.4"/>
        <n v="9.6"/>
        <n v="79.5"/>
        <n v="105.8"/>
        <n v="11.2"/>
        <n v="58.9"/>
        <n v="55.4"/>
        <n v="32.200000000000003"/>
        <n v="11.8"/>
        <n v="122"/>
        <n v="75.900000000000006"/>
        <n v="171"/>
        <n v="34.4"/>
        <n v="91.2"/>
        <n v="3.5"/>
        <n v="114.8"/>
        <n v="47.2"/>
        <n v="202.4"/>
        <n v="42.1"/>
        <n v="24.6"/>
        <n v="18.600000000000001"/>
        <n v="19.8"/>
        <n v="142.4"/>
        <n v="39.9"/>
        <n v="20.2"/>
        <n v="53.5"/>
        <n v="33"/>
        <n v="28.6"/>
        <n v="36"/>
        <n v="12.9"/>
        <n v="12.8"/>
        <n v="25"/>
        <n v="128.9"/>
        <n v="84.6"/>
        <n v="32.1"/>
        <n v="6.7"/>
        <n v="30.1"/>
        <n v="125.6"/>
        <n v="35.799999999999997"/>
        <n v="4.7"/>
        <n v="92.1"/>
        <n v="41.3"/>
        <n v="74.7"/>
        <n v="13.7"/>
        <n v="33.6"/>
        <n v="63.2"/>
        <n v="2.7"/>
        <n v="4.4000000000000004"/>
        <n v="77.5"/>
        <n v="82.8"/>
        <n v="145.6"/>
        <n v="53.9"/>
        <n v="47.3"/>
        <n v="58.8"/>
        <n v="150.80000000000001"/>
        <n v="101.1"/>
        <n v="167.6"/>
        <n v="48.5"/>
        <n v="12"/>
        <n v="47"/>
        <n v="100.2"/>
        <n v="25.4"/>
        <n v="27"/>
        <n v="92.4"/>
        <n v="60.3"/>
        <n v="111"/>
        <n v="58"/>
        <n v="98.6"/>
        <n v="25.1"/>
        <n v="220.6"/>
        <n v="86.4"/>
        <n v="293.5"/>
        <n v="13.1"/>
        <n v="16.899999999999999"/>
        <n v="53.1"/>
        <n v="33.700000000000003"/>
        <n v="34.1"/>
        <n v="80.5"/>
        <n v="123.6"/>
        <n v="162.9"/>
        <n v="48.1"/>
        <n v="71.400000000000006"/>
        <n v="22.9"/>
        <n v="51.8"/>
        <n v="110.7"/>
        <n v="8.1"/>
        <n v="121.1"/>
        <n v="262.39999999999998"/>
        <n v="31"/>
        <n v="66.5"/>
        <n v="362.3"/>
        <n v="13.8"/>
        <n v="8.3000000000000007"/>
        <n v="197.3"/>
        <n v="41"/>
        <n v="81.7"/>
        <n v="27.6"/>
        <n v="137.69999999999999"/>
        <n v="38.6"/>
        <n v="53.8"/>
        <n v="185.1"/>
        <n v="33.1"/>
        <n v="20.5"/>
        <n v="39.1"/>
        <n v="25.6"/>
        <n v="52.1"/>
        <n v="18.3"/>
        <n v="9.3000000000000007"/>
        <n v="101.4"/>
        <n v="88.2"/>
        <n v="43.5"/>
        <n v="21.1"/>
        <n v="57.5"/>
        <n v="117.8"/>
        <n v="23"/>
        <n v="28.4"/>
        <n v="23.4"/>
        <n v="40.6"/>
        <n v="5.4"/>
        <n v="61.9"/>
        <n v="10.5"/>
        <n v="58.2"/>
        <n v="141.69999999999999"/>
        <n v="52.9"/>
        <n v="90.3"/>
        <n v="207.7"/>
        <n v="3.7"/>
        <n v="60"/>
        <n v="9.1"/>
        <n v="68"/>
        <n v="149.9"/>
        <n v="37.9"/>
        <n v="57.2"/>
        <n v="101.8"/>
        <n v="296.7"/>
        <n v="174.5"/>
        <n v="37.6"/>
        <n v="97.9"/>
        <n v="184"/>
        <n v="21.7"/>
        <n v="38.9"/>
        <n v="66.599999999999994"/>
        <n v="130.19999999999999"/>
        <n v="76.3"/>
        <n v="113.3"/>
        <n v="109.1"/>
        <n v="37.1"/>
        <n v="34.299999999999997"/>
        <n v="92.8"/>
        <n v="91"/>
        <n v="24.5"/>
        <n v="94.1"/>
        <n v="78.8"/>
        <n v="258.8"/>
        <n v="89.1"/>
        <n v="179.3"/>
        <n v="4.8"/>
        <n v="10.1"/>
        <n v="26.7"/>
        <n v="53.2"/>
        <n v="28.3"/>
        <n v="90.1"/>
        <n v="119.5"/>
        <n v="80"/>
        <n v="50.9"/>
        <n v="65.8"/>
        <n v="33.799999999999997"/>
        <n v="88.3"/>
        <n v="126.5"/>
        <n v="62.5"/>
        <n v="8.4"/>
        <n v="57.7"/>
        <n v="50.7"/>
        <n v="73"/>
        <n v="93.4"/>
        <n v="133.9"/>
        <n v="150.4"/>
        <n v="25.9"/>
        <n v="67.8"/>
        <n v="22.8"/>
        <n v="2.5"/>
        <n v="56.2"/>
        <n v="15.2"/>
        <n v="107.3"/>
        <n v="289.10000000000002"/>
        <n v="10.8"/>
        <n v="96.6"/>
        <n v="84.5"/>
        <n v="52.2"/>
        <n v="102.1"/>
        <n v="148.30000000000001"/>
        <n v="86.9"/>
        <n v="71.3"/>
        <n v="43.6"/>
        <n v="9.6999999999999993"/>
        <n v="74.3"/>
        <n v="10.6"/>
        <n v="68.7"/>
        <n v="39.4"/>
        <n v="45.9"/>
        <n v="57.6"/>
        <n v="14.4"/>
        <n v="9.1999999999999993"/>
        <n v="162"/>
        <n v="108.4"/>
        <n v="100"/>
        <n v="69"/>
        <n v="111.8"/>
        <n v="15.4"/>
        <n v="171.8"/>
        <n v="36.200000000000003"/>
        <n v="83.2"/>
        <n v="81.3"/>
        <n v="42.9"/>
        <n v="241"/>
        <n v="77"/>
        <n v="181.9"/>
        <n v="112.6"/>
        <n v="54"/>
        <n v="78.900000000000006"/>
        <n v="40.299999999999997"/>
        <n v="93.5"/>
        <n v="14"/>
        <n v="84.7"/>
        <n v="75.7"/>
        <n v="123.5"/>
        <n v="56.1"/>
        <n v="45.5"/>
        <n v="19.3"/>
        <n v="113.2"/>
        <n v="28.5"/>
        <n v="30.2"/>
        <n v="41.2"/>
        <n v="47.8"/>
        <n v="15.8"/>
        <n v="173.5"/>
        <n v="108.5"/>
        <n v="13.3"/>
        <n v="191.9"/>
        <n v="125.9"/>
        <n v="35.4"/>
        <n v="107.1"/>
        <n v="14.9"/>
        <n v="63.5"/>
        <n v="9.9"/>
        <n v="141.30000000000001"/>
        <n v="17.100000000000001"/>
        <n v="38.5"/>
        <n v="115.9"/>
        <n v="64.900000000000006"/>
        <n v="11.3"/>
        <n v="68.900000000000006"/>
        <n v="27.4"/>
        <n v="147.80000000000001"/>
        <n v="39.200000000000003"/>
        <n v="4.3"/>
        <n v="20.8"/>
        <n v="277.5"/>
        <n v="59.8"/>
        <n v="42.7"/>
        <n v="71.5"/>
        <n v="149"/>
        <n v="47.5"/>
        <n v="96.7"/>
        <n v="141.80000000000001"/>
        <n v="67.2"/>
        <n v="6.2"/>
        <n v="28.2"/>
        <n v="27.1"/>
        <n v="40.9"/>
        <n v="48.2"/>
        <n v="54.8"/>
        <n v="128"/>
        <n v="95.8"/>
        <n v="4.5"/>
        <n v="144.80000000000001"/>
        <n v="72.3"/>
        <n v="48.4"/>
        <n v="104.8"/>
        <n v="3.2"/>
        <n v="13"/>
        <n v="90.2"/>
        <n v="111.4"/>
        <n v="78.400000000000006"/>
        <n v="125"/>
        <n v="97.4"/>
        <n v="74.900000000000006"/>
        <n v="10.9"/>
        <n v="164.9"/>
        <n v="49.2"/>
        <n v="96.1"/>
        <n v="46.2"/>
        <n v="8"/>
        <n v="23.9"/>
        <n v="70.900000000000006"/>
        <n v="14.5"/>
        <n v="29.4"/>
        <n v="45.8"/>
        <n v="40.200000000000003"/>
        <n v="103"/>
        <n v="144"/>
        <n v="152.80000000000001"/>
        <n v="37.4"/>
        <n v="41.5"/>
        <n v="76"/>
        <n v="13.4"/>
        <n v="30"/>
        <n v="79.7"/>
        <n v="12.6"/>
        <n v="43"/>
        <n v="5"/>
        <n v="41.1"/>
        <n v="63.7"/>
        <n v="34.799999999999997"/>
        <n v="114.4"/>
        <n v="17.600000000000001"/>
        <n v="61.3"/>
        <n v="110.5"/>
        <n v="6.5"/>
        <n v="19.100000000000001"/>
        <n v="133.69999999999999"/>
        <n v="161.30000000000001"/>
        <n v="51.7"/>
        <n v="7.4"/>
        <n v="43.9"/>
        <n v="5.2"/>
        <n v="55"/>
        <n v="32.299999999999997"/>
        <n v="201.5"/>
        <n v="24"/>
        <n v="68.099999999999994"/>
        <n v="24.4"/>
        <n v="131.19999999999999"/>
        <n v="222.5"/>
        <n v="61.1"/>
        <n v="35.9"/>
        <n v="63.1"/>
        <n v="126.9"/>
        <n v="148.9"/>
        <n v="60.4"/>
        <n v="24.9"/>
        <n v="334.8"/>
        <n v="180.2"/>
        <n v="13.5"/>
        <n v="66.3"/>
        <n v="16.8"/>
        <n v="51.9"/>
        <n v="56"/>
        <n v="29.6"/>
        <n v="8.8000000000000007"/>
        <n v="145.19999999999999"/>
        <n v="151.1"/>
        <n v="85.8"/>
        <n v="26.5"/>
        <n v="172.7"/>
        <n v="48.3"/>
        <n v="83.9"/>
        <n v="33.9"/>
        <n v="31.4"/>
        <n v="4.2"/>
        <n v="64.400000000000006"/>
        <n v="44.4"/>
        <n v="88.6"/>
        <n v="16.399999999999999"/>
        <n v="57.9"/>
        <n v="25.7"/>
        <n v="28.7"/>
        <n v="2.8"/>
        <n v="238.1"/>
        <n v="26.9"/>
        <n v="32.799999999999997"/>
        <n v="73.7"/>
        <n v="109.5"/>
        <n v="221.6"/>
        <n v="17.8"/>
        <n v="191.7"/>
        <n v="12.1"/>
        <n v="110.4"/>
        <n v="10.7"/>
        <n v="25.3"/>
        <n v="32"/>
        <n v="7.2"/>
        <n v="70.7"/>
        <n v="26.6"/>
        <n v="20.100000000000001"/>
        <n v="68.2"/>
        <n v="47.9"/>
        <n v="116.8"/>
        <n v="6.4"/>
        <n v="91.3"/>
        <n v="155.9"/>
        <n v="58.7"/>
        <n v="64.5"/>
        <n v="77.900000000000006"/>
        <n v="124.7"/>
        <n v="31.9"/>
        <n v="13.9"/>
        <n v="10"/>
        <n v="74.599999999999994"/>
        <n v="33.5"/>
        <n v="107.5"/>
        <n v="30.4"/>
        <n v="244.5"/>
        <n v="51"/>
        <n v="140.30000000000001"/>
        <n v="26.1"/>
        <n v="69.2"/>
        <n v="57.1"/>
        <n v="77.400000000000006"/>
        <n v="66"/>
        <n v="133.19999999999999"/>
        <n v="38.299999999999997"/>
        <n v="64.099999999999994"/>
        <n v="54.2"/>
        <n v="118.2"/>
        <n v="63.6"/>
        <n v="133.5"/>
        <n v="87.3"/>
        <n v="42.8"/>
        <n v="75"/>
        <n v="228.1"/>
        <n v="40.5"/>
        <n v="11.6"/>
        <n v="7.7"/>
        <n v="163.5"/>
        <n v="31.3"/>
        <n v="55.7"/>
        <n v="36.9"/>
        <n v="23.1"/>
        <n v="19.2"/>
        <n v="4"/>
        <n v="31.5"/>
        <n v="50.1"/>
        <n v="124.5"/>
        <n v="45"/>
        <n v="184.8"/>
        <n v="35"/>
        <n v="49.8"/>
        <n v="72.7"/>
        <n v="2.9"/>
        <n v="44.5"/>
        <n v="21.8"/>
        <n v="108.3"/>
        <n v="378.5"/>
        <n v="82.6"/>
        <n v="12.3"/>
        <n v="87.7"/>
        <n v="58.4"/>
        <n v="16.7"/>
        <n v="5.0999999999999996"/>
        <n v="193"/>
        <n v="57"/>
        <n v="132.4"/>
        <n v="39.6"/>
        <n v="61"/>
        <n v="100.6"/>
        <n v="65.400000000000006"/>
        <n v="176.8"/>
        <n v="34.200000000000003"/>
        <n v="29.1"/>
        <n v="67.900000000000006"/>
        <n v="53.3"/>
        <n v="40.799999999999997"/>
        <n v="7.9"/>
        <n v="198.3"/>
        <n v="147.9"/>
        <n v="103.7"/>
        <n v="74.400000000000006"/>
        <n v="153.5"/>
        <n v="28.1"/>
        <n v="62.2"/>
        <n v="313"/>
        <n v="6"/>
        <n v="117"/>
        <n v="79.900000000000006"/>
        <n v="148.4"/>
        <n v="110.2"/>
        <n v="96.3"/>
        <n v="73.900000000000006"/>
        <n v="132.19999999999999"/>
        <n v="238.7"/>
        <n v="13.2"/>
        <n v="43.8"/>
        <n v="26.4"/>
        <n v="15.1"/>
        <n v="99.9"/>
        <n v="49.6"/>
        <n v="73.400000000000006"/>
        <n v="33.299999999999997"/>
        <n v="173.2"/>
        <n v="244.4"/>
        <n v="102.2"/>
        <n v="40.1"/>
        <n v="5.9"/>
        <n v="9.4"/>
        <n v="119.1"/>
        <n v="121.6"/>
        <n v="111.9"/>
        <n v="32.700000000000003"/>
        <n v="3.4"/>
        <n v="3.3"/>
        <n v="60.9"/>
        <n v="217.8"/>
        <n v="256.5"/>
        <n v="97.3"/>
        <n v="121.9"/>
        <n v="99.7"/>
        <n v="194.2"/>
        <n v="66.8"/>
        <n v="109.8"/>
        <n v="151.4"/>
        <n v="4.0999999999999996"/>
        <n v="87.5"/>
        <n v="61.2"/>
        <n v="39.5"/>
        <n v="49.4"/>
        <n v="74.5"/>
        <n v="69.8"/>
        <n v="80.7"/>
        <n v="86.8"/>
        <n v="186.8"/>
        <n v="50.2"/>
        <n v="75.599999999999994"/>
        <n v="167.2"/>
        <n v="43.7"/>
        <n v="175.8"/>
        <n v="7.6"/>
        <n v="44.6"/>
        <n v="55.3"/>
        <n v="29.9"/>
        <n v="142.1"/>
        <n v="115.4"/>
        <n v="15.5"/>
        <n v="106.2"/>
        <n v="30.7"/>
        <n v="20.3"/>
        <n v="52.3"/>
        <n v="186.5"/>
        <n v="21"/>
        <n v="105.1"/>
        <n v="40.4"/>
        <n v="98.4"/>
        <n v="62.9"/>
        <n v="69.5"/>
        <n v="104"/>
        <n v="211"/>
        <n v="12.7"/>
        <n v="138.6"/>
        <n v="67.599999999999994"/>
        <n v="52"/>
        <n v="209.5"/>
        <n v="3.9"/>
        <n v="67.7"/>
        <n v="82.2"/>
        <n v="50.3"/>
        <n v="49.7"/>
        <n v="97.1"/>
        <n v="245"/>
        <n v="70.2"/>
        <n v="146.6"/>
        <n v="12.2"/>
      </sharedItems>
    </cacheField>
    <cacheField name="Revenue_Million_USD" numFmtId="164">
      <sharedItems containsSemiMixedTypes="0" containsString="0" containsNumber="1" minValue="1.6" maxValue="2086.5"/>
    </cacheField>
    <cacheField name="IMDb_Rating" numFmtId="164">
      <sharedItems containsSemiMixedTypes="0" containsString="0" containsNumber="1" minValue="4" maxValue="9.5"/>
    </cacheField>
    <cacheField name="Studio" numFmtId="0">
      <sharedItems/>
    </cacheField>
    <cacheField name="Profit_Million_USD" numFmtId="164">
      <sharedItems containsSemiMixedTypes="0" containsString="0" containsNumber="1" minValue="-198.7" maxValue="1686.5"/>
    </cacheField>
    <cacheField name="ROI_%" numFmtId="165">
      <sharedItems containsSemiMixedTypes="0" containsString="0" containsNumber="1" minValue="-66.400000000000006" maxValue="525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000">
  <r>
    <n v="1"/>
    <x v="0"/>
    <x v="0"/>
    <x v="0"/>
    <x v="0"/>
    <x v="0"/>
    <x v="0"/>
    <n v="442.5"/>
    <n v="6.7"/>
    <s v="CJ Entertainment"/>
    <n v="303.8"/>
    <n v="219"/>
  </r>
  <r>
    <n v="2"/>
    <x v="1"/>
    <x v="1"/>
    <x v="1"/>
    <x v="1"/>
    <x v="1"/>
    <x v="1"/>
    <n v="18.9"/>
    <n v="5.7"/>
    <s v="Hombale Films"/>
    <n v="-3.2"/>
    <n v="-14.5"/>
  </r>
  <r>
    <n v="3"/>
    <x v="2"/>
    <x v="2"/>
    <x v="2"/>
    <x v="2"/>
    <x v="2"/>
    <x v="2"/>
    <n v="174.7"/>
    <n v="7.5"/>
    <s v="Disney"/>
    <n v="111.4"/>
    <n v="176"/>
  </r>
  <r>
    <n v="4"/>
    <x v="3"/>
    <x v="3"/>
    <x v="3"/>
    <x v="0"/>
    <x v="3"/>
    <x v="3"/>
    <n v="88.3"/>
    <n v="7.1"/>
    <s v="CJ Entertainment"/>
    <n v="29.8"/>
    <n v="50.9"/>
  </r>
  <r>
    <n v="5"/>
    <x v="4"/>
    <x v="2"/>
    <x v="4"/>
    <x v="2"/>
    <x v="3"/>
    <x v="4"/>
    <n v="54.7"/>
    <n v="9.5"/>
    <s v="A24"/>
    <n v="28.7"/>
    <n v="110.4"/>
  </r>
  <r>
    <n v="6"/>
    <x v="5"/>
    <x v="0"/>
    <x v="2"/>
    <x v="3"/>
    <x v="4"/>
    <x v="5"/>
    <n v="100.4"/>
    <n v="7.3"/>
    <s v="Universal"/>
    <n v="-12.7"/>
    <n v="-11.2"/>
  </r>
  <r>
    <n v="7"/>
    <x v="6"/>
    <x v="4"/>
    <x v="1"/>
    <x v="4"/>
    <x v="5"/>
    <x v="6"/>
    <n v="758.6"/>
    <n v="5.7"/>
    <s v="Marvel"/>
    <n v="613.5"/>
    <n v="422.8"/>
  </r>
  <r>
    <n v="8"/>
    <x v="7"/>
    <x v="0"/>
    <x v="5"/>
    <x v="2"/>
    <x v="6"/>
    <x v="7"/>
    <n v="24.4"/>
    <n v="5.9"/>
    <s v="20th Century Fox"/>
    <n v="8.5"/>
    <n v="53.5"/>
  </r>
  <r>
    <n v="9"/>
    <x v="8"/>
    <x v="5"/>
    <x v="0"/>
    <x v="5"/>
    <x v="7"/>
    <x v="8"/>
    <n v="405.9"/>
    <n v="6.9"/>
    <s v="Paramount"/>
    <n v="304.2"/>
    <n v="299.1"/>
  </r>
  <r>
    <n v="10"/>
    <x v="9"/>
    <x v="6"/>
    <x v="3"/>
    <x v="2"/>
    <x v="4"/>
    <x v="9"/>
    <n v="226.7"/>
    <n v="8.699999999999999"/>
    <s v="A24"/>
    <n v="94.2"/>
    <n v="71.09999999999999"/>
  </r>
  <r>
    <n v="11"/>
    <x v="10"/>
    <x v="7"/>
    <x v="4"/>
    <x v="2"/>
    <x v="8"/>
    <x v="10"/>
    <n v="936"/>
    <n v="9.5"/>
    <s v="Disney"/>
    <n v="730"/>
    <n v="354.4"/>
  </r>
  <r>
    <n v="12"/>
    <x v="11"/>
    <x v="8"/>
    <x v="3"/>
    <x v="2"/>
    <x v="9"/>
    <x v="11"/>
    <n v="131.4"/>
    <n v="6.8"/>
    <s v="Disney"/>
    <n v="62"/>
    <n v="89.3"/>
  </r>
  <r>
    <n v="13"/>
    <x v="12"/>
    <x v="9"/>
    <x v="6"/>
    <x v="2"/>
    <x v="10"/>
    <x v="12"/>
    <n v="60.7"/>
    <n v="6.9"/>
    <s v="20th Century Fox"/>
    <n v="16.6"/>
    <n v="37.6"/>
  </r>
  <r>
    <n v="14"/>
    <x v="13"/>
    <x v="10"/>
    <x v="7"/>
    <x v="1"/>
    <x v="11"/>
    <x v="13"/>
    <n v="16.9"/>
    <n v="7.4"/>
    <s v="Panorama Studios"/>
    <n v="2.3"/>
    <n v="15.8"/>
  </r>
  <r>
    <n v="15"/>
    <x v="14"/>
    <x v="11"/>
    <x v="7"/>
    <x v="2"/>
    <x v="12"/>
    <x v="14"/>
    <n v="117.8"/>
    <n v="6.7"/>
    <s v="Universal"/>
    <n v="10.1"/>
    <n v="9.4"/>
  </r>
  <r>
    <n v="16"/>
    <x v="15"/>
    <x v="12"/>
    <x v="7"/>
    <x v="2"/>
    <x v="13"/>
    <x v="15"/>
    <n v="109.4"/>
    <n v="9.5"/>
    <s v="Sony Pictures"/>
    <n v="85.09999999999999"/>
    <n v="350.2"/>
  </r>
  <r>
    <n v="17"/>
    <x v="16"/>
    <x v="13"/>
    <x v="8"/>
    <x v="2"/>
    <x v="9"/>
    <x v="16"/>
    <n v="686.7"/>
    <n v="5.4"/>
    <s v="A24"/>
    <n v="500.4"/>
    <n v="268.6"/>
  </r>
  <r>
    <n v="18"/>
    <x v="17"/>
    <x v="14"/>
    <x v="0"/>
    <x v="1"/>
    <x v="14"/>
    <x v="17"/>
    <n v="70.09999999999999"/>
    <n v="5.8"/>
    <s v="Panorama Studios"/>
    <n v="39.8"/>
    <n v="131.4"/>
  </r>
  <r>
    <n v="19"/>
    <x v="18"/>
    <x v="15"/>
    <x v="2"/>
    <x v="2"/>
    <x v="15"/>
    <x v="18"/>
    <n v="64"/>
    <n v="7"/>
    <s v="Universal"/>
    <n v="25.2"/>
    <n v="64.90000000000001"/>
  </r>
  <r>
    <n v="20"/>
    <x v="19"/>
    <x v="16"/>
    <x v="6"/>
    <x v="2"/>
    <x v="16"/>
    <x v="19"/>
    <n v="217"/>
    <n v="6"/>
    <s v="Warner Bros."/>
    <n v="150.6"/>
    <n v="226.8"/>
  </r>
  <r>
    <n v="21"/>
    <x v="20"/>
    <x v="17"/>
    <x v="1"/>
    <x v="1"/>
    <x v="17"/>
    <x v="20"/>
    <n v="19"/>
    <n v="7"/>
    <s v="Yash Raj Films"/>
    <n v="-8.300000000000001"/>
    <n v="-30.4"/>
  </r>
  <r>
    <n v="22"/>
    <x v="21"/>
    <x v="18"/>
    <x v="7"/>
    <x v="0"/>
    <x v="18"/>
    <x v="21"/>
    <n v="625.6"/>
    <n v="6"/>
    <s v="CJ Entertainment"/>
    <n v="506"/>
    <n v="423.1"/>
  </r>
  <r>
    <n v="23"/>
    <x v="22"/>
    <x v="19"/>
    <x v="2"/>
    <x v="5"/>
    <x v="19"/>
    <x v="22"/>
    <n v="97.40000000000001"/>
    <n v="7.7"/>
    <s v="20th Century Fox"/>
    <n v="73.3"/>
    <n v="304.1"/>
  </r>
  <r>
    <n v="24"/>
    <x v="23"/>
    <x v="5"/>
    <x v="8"/>
    <x v="3"/>
    <x v="20"/>
    <x v="23"/>
    <n v="367"/>
    <n v="7"/>
    <s v="Disney"/>
    <n v="267.6"/>
    <n v="269.2"/>
  </r>
  <r>
    <n v="25"/>
    <x v="24"/>
    <x v="18"/>
    <x v="0"/>
    <x v="2"/>
    <x v="2"/>
    <x v="24"/>
    <n v="72.59999999999999"/>
    <n v="7.1"/>
    <s v="Sony Pictures"/>
    <n v="8.4"/>
    <n v="13.1"/>
  </r>
  <r>
    <n v="26"/>
    <x v="25"/>
    <x v="20"/>
    <x v="9"/>
    <x v="6"/>
    <x v="21"/>
    <x v="25"/>
    <n v="55.9"/>
    <n v="7.7"/>
    <s v="Disney"/>
    <n v="31.7"/>
    <n v="131"/>
  </r>
  <r>
    <n v="27"/>
    <x v="26"/>
    <x v="21"/>
    <x v="6"/>
    <x v="1"/>
    <x v="22"/>
    <x v="26"/>
    <n v="16.7"/>
    <n v="9.5"/>
    <s v="Aamir Khan Productions"/>
    <n v="0.6"/>
    <n v="3.7"/>
  </r>
  <r>
    <n v="28"/>
    <x v="27"/>
    <x v="14"/>
    <x v="2"/>
    <x v="2"/>
    <x v="14"/>
    <x v="27"/>
    <n v="429.4"/>
    <n v="7.6"/>
    <s v="Paramount"/>
    <n v="346.3"/>
    <n v="416.7"/>
  </r>
  <r>
    <n v="29"/>
    <x v="28"/>
    <x v="0"/>
    <x v="9"/>
    <x v="6"/>
    <x v="23"/>
    <x v="28"/>
    <n v="65.40000000000001"/>
    <n v="6.3"/>
    <s v="Universal"/>
    <n v="44.5"/>
    <n v="212.9"/>
  </r>
  <r>
    <n v="30"/>
    <x v="29"/>
    <x v="22"/>
    <x v="9"/>
    <x v="3"/>
    <x v="24"/>
    <x v="29"/>
    <n v="165.4"/>
    <n v="6.1"/>
    <s v="A24"/>
    <n v="60.7"/>
    <n v="58"/>
  </r>
  <r>
    <n v="31"/>
    <x v="30"/>
    <x v="23"/>
    <x v="9"/>
    <x v="2"/>
    <x v="25"/>
    <x v="30"/>
    <n v="226.8"/>
    <n v="7.9"/>
    <s v="A24"/>
    <n v="83.5"/>
    <n v="58.3"/>
  </r>
  <r>
    <n v="32"/>
    <x v="31"/>
    <x v="7"/>
    <x v="0"/>
    <x v="1"/>
    <x v="26"/>
    <x v="31"/>
    <n v="2.7"/>
    <n v="7.5"/>
    <s v="Hombale Films"/>
    <n v="-2.2"/>
    <n v="-44.9"/>
  </r>
  <r>
    <n v="33"/>
    <x v="32"/>
    <x v="24"/>
    <x v="3"/>
    <x v="1"/>
    <x v="27"/>
    <x v="32"/>
    <n v="2.9"/>
    <n v="9.199999999999999"/>
    <s v="Mythri Movie Makers"/>
    <n v="-3.4"/>
    <n v="-54"/>
  </r>
  <r>
    <n v="34"/>
    <x v="33"/>
    <x v="10"/>
    <x v="1"/>
    <x v="2"/>
    <x v="28"/>
    <x v="13"/>
    <n v="66.40000000000001"/>
    <n v="7.5"/>
    <s v="Universal"/>
    <n v="51.8"/>
    <n v="354.8"/>
  </r>
  <r>
    <n v="35"/>
    <x v="34"/>
    <x v="25"/>
    <x v="4"/>
    <x v="1"/>
    <x v="29"/>
    <x v="33"/>
    <n v="94.2"/>
    <n v="5.3"/>
    <s v="Yash Raj Films"/>
    <n v="71.90000000000001"/>
    <n v="322.4"/>
  </r>
  <r>
    <n v="36"/>
    <x v="35"/>
    <x v="14"/>
    <x v="9"/>
    <x v="2"/>
    <x v="27"/>
    <x v="34"/>
    <n v="36.2"/>
    <n v="8.6"/>
    <s v="Lionsgate"/>
    <n v="-0.2"/>
    <n v="-0.5"/>
  </r>
  <r>
    <n v="37"/>
    <x v="36"/>
    <x v="26"/>
    <x v="4"/>
    <x v="2"/>
    <x v="30"/>
    <x v="35"/>
    <n v="325.3"/>
    <n v="9"/>
    <s v="Sony Pictures"/>
    <n v="157.3"/>
    <n v="93.59999999999999"/>
  </r>
  <r>
    <n v="38"/>
    <x v="37"/>
    <x v="17"/>
    <x v="0"/>
    <x v="2"/>
    <x v="31"/>
    <x v="36"/>
    <n v="40.6"/>
    <n v="6.4"/>
    <s v="Paramount"/>
    <n v="-9.800000000000001"/>
    <n v="-19.4"/>
  </r>
  <r>
    <n v="39"/>
    <x v="38"/>
    <x v="11"/>
    <x v="7"/>
    <x v="1"/>
    <x v="32"/>
    <x v="37"/>
    <n v="34.9"/>
    <n v="9"/>
    <s v="Mythri Movie Makers"/>
    <n v="16.1"/>
    <n v="85.59999999999999"/>
  </r>
  <r>
    <n v="40"/>
    <x v="39"/>
    <x v="27"/>
    <x v="8"/>
    <x v="1"/>
    <x v="24"/>
    <x v="38"/>
    <n v="31"/>
    <n v="9.199999999999999"/>
    <s v="Mythri Movie Makers"/>
    <n v="18.5"/>
    <n v="148"/>
  </r>
  <r>
    <n v="41"/>
    <x v="40"/>
    <x v="25"/>
    <x v="6"/>
    <x v="0"/>
    <x v="33"/>
    <x v="39"/>
    <n v="207.4"/>
    <n v="5.4"/>
    <s v="CJ Entertainment"/>
    <n v="158.7"/>
    <n v="325.9"/>
  </r>
  <r>
    <n v="42"/>
    <x v="41"/>
    <x v="6"/>
    <x v="4"/>
    <x v="2"/>
    <x v="34"/>
    <x v="40"/>
    <n v="596.2"/>
    <n v="7.5"/>
    <s v="Paramount"/>
    <n v="443.7"/>
    <n v="291"/>
  </r>
  <r>
    <n v="43"/>
    <x v="42"/>
    <x v="0"/>
    <x v="3"/>
    <x v="2"/>
    <x v="35"/>
    <x v="41"/>
    <n v="94"/>
    <n v="6.1"/>
    <s v="Marvel"/>
    <n v="46.9"/>
    <n v="99.59999999999999"/>
  </r>
  <r>
    <n v="44"/>
    <x v="43"/>
    <x v="27"/>
    <x v="3"/>
    <x v="1"/>
    <x v="36"/>
    <x v="42"/>
    <n v="19.6"/>
    <n v="8.300000000000001"/>
    <s v="Aamir Khan Productions"/>
    <n v="14.1"/>
    <n v="256.4"/>
  </r>
  <r>
    <n v="45"/>
    <x v="44"/>
    <x v="28"/>
    <x v="9"/>
    <x v="1"/>
    <x v="6"/>
    <x v="43"/>
    <n v="50.9"/>
    <n v="5.5"/>
    <s v="Panorama Studios"/>
    <n v="31.9"/>
    <n v="167.9"/>
  </r>
  <r>
    <n v="46"/>
    <x v="45"/>
    <x v="9"/>
    <x v="9"/>
    <x v="6"/>
    <x v="19"/>
    <x v="44"/>
    <n v="93.5"/>
    <n v="7.8"/>
    <s v="20th Century Fox"/>
    <n v="-27.2"/>
    <n v="-22.5"/>
  </r>
  <r>
    <n v="47"/>
    <x v="46"/>
    <x v="14"/>
    <x v="1"/>
    <x v="2"/>
    <x v="32"/>
    <x v="45"/>
    <n v="122.4"/>
    <n v="6.9"/>
    <s v="Pixar"/>
    <n v="70.90000000000001"/>
    <n v="137.7"/>
  </r>
  <r>
    <n v="48"/>
    <x v="47"/>
    <x v="29"/>
    <x v="6"/>
    <x v="2"/>
    <x v="26"/>
    <x v="46"/>
    <n v="57.6"/>
    <n v="9"/>
    <s v="Lionsgate"/>
    <n v="22.4"/>
    <n v="63.6"/>
  </r>
  <r>
    <n v="49"/>
    <x v="48"/>
    <x v="22"/>
    <x v="1"/>
    <x v="2"/>
    <x v="18"/>
    <x v="47"/>
    <n v="93.8"/>
    <n v="6.5"/>
    <s v="Paramount"/>
    <n v="-10.3"/>
    <n v="-9.9"/>
  </r>
  <r>
    <n v="50"/>
    <x v="49"/>
    <x v="30"/>
    <x v="3"/>
    <x v="1"/>
    <x v="14"/>
    <x v="43"/>
    <n v="13"/>
    <n v="8.300000000000001"/>
    <s v="Yash Raj Films"/>
    <n v="-6"/>
    <n v="-31.6"/>
  </r>
  <r>
    <n v="51"/>
    <x v="50"/>
    <x v="31"/>
    <x v="9"/>
    <x v="2"/>
    <x v="1"/>
    <x v="48"/>
    <n v="88.40000000000001"/>
    <n v="5.8"/>
    <s v="Pixar"/>
    <n v="-36.7"/>
    <n v="-29.3"/>
  </r>
  <r>
    <n v="52"/>
    <x v="51"/>
    <x v="14"/>
    <x v="8"/>
    <x v="3"/>
    <x v="37"/>
    <x v="49"/>
    <n v="152.9"/>
    <n v="8.4"/>
    <s v="Disney"/>
    <n v="70.8"/>
    <n v="86.2"/>
  </r>
  <r>
    <n v="53"/>
    <x v="52"/>
    <x v="15"/>
    <x v="9"/>
    <x v="2"/>
    <x v="38"/>
    <x v="50"/>
    <n v="51.7"/>
    <n v="7.4"/>
    <s v="Marvel"/>
    <n v="-11"/>
    <n v="-17.5"/>
  </r>
  <r>
    <n v="54"/>
    <x v="53"/>
    <x v="26"/>
    <x v="6"/>
    <x v="2"/>
    <x v="39"/>
    <x v="51"/>
    <n v="87.3"/>
    <n v="6.3"/>
    <s v="Pixar"/>
    <n v="65.3"/>
    <n v="296.8"/>
  </r>
  <r>
    <n v="55"/>
    <x v="54"/>
    <x v="32"/>
    <x v="5"/>
    <x v="4"/>
    <x v="22"/>
    <x v="52"/>
    <n v="21.3"/>
    <n v="6.7"/>
    <s v="Sony Pictures"/>
    <n v="-7.9"/>
    <n v="-27.1"/>
  </r>
  <r>
    <n v="56"/>
    <x v="55"/>
    <x v="8"/>
    <x v="4"/>
    <x v="6"/>
    <x v="17"/>
    <x v="53"/>
    <n v="645.9"/>
    <n v="6.4"/>
    <s v="Lionsgate"/>
    <n v="310"/>
    <n v="92.3"/>
  </r>
  <r>
    <n v="57"/>
    <x v="56"/>
    <x v="2"/>
    <x v="6"/>
    <x v="2"/>
    <x v="40"/>
    <x v="54"/>
    <n v="35.8"/>
    <n v="6.7"/>
    <s v="Marvel"/>
    <n v="12"/>
    <n v="50.4"/>
  </r>
  <r>
    <n v="58"/>
    <x v="57"/>
    <x v="3"/>
    <x v="9"/>
    <x v="4"/>
    <x v="41"/>
    <x v="55"/>
    <n v="200.4"/>
    <n v="8.4"/>
    <s v="Disney"/>
    <n v="87"/>
    <n v="76.7"/>
  </r>
  <r>
    <n v="59"/>
    <x v="58"/>
    <x v="11"/>
    <x v="7"/>
    <x v="2"/>
    <x v="29"/>
    <x v="56"/>
    <n v="151.6"/>
    <n v="6.5"/>
    <s v="Universal"/>
    <n v="105.1"/>
    <n v="226"/>
  </r>
  <r>
    <n v="60"/>
    <x v="59"/>
    <x v="23"/>
    <x v="1"/>
    <x v="2"/>
    <x v="16"/>
    <x v="57"/>
    <n v="14.4"/>
    <n v="6.6"/>
    <s v="Pixar"/>
    <n v="-5.3"/>
    <n v="-26.9"/>
  </r>
  <r>
    <n v="61"/>
    <x v="60"/>
    <x v="32"/>
    <x v="6"/>
    <x v="2"/>
    <x v="42"/>
    <x v="58"/>
    <n v="239.9"/>
    <n v="6.8"/>
    <s v="Paramount"/>
    <n v="172.6"/>
    <n v="256.5"/>
  </r>
  <r>
    <n v="62"/>
    <x v="61"/>
    <x v="26"/>
    <x v="8"/>
    <x v="1"/>
    <x v="43"/>
    <x v="59"/>
    <n v="3.6"/>
    <n v="6.9"/>
    <s v="Hombale Films"/>
    <n v="2.1"/>
    <n v="140"/>
  </r>
  <r>
    <n v="63"/>
    <x v="62"/>
    <x v="33"/>
    <x v="7"/>
    <x v="1"/>
    <x v="44"/>
    <x v="60"/>
    <n v="4.5"/>
    <n v="7.7"/>
    <s v="Yash Raj Films"/>
    <n v="-5.3"/>
    <n v="-54.1"/>
  </r>
  <r>
    <n v="64"/>
    <x v="63"/>
    <x v="19"/>
    <x v="5"/>
    <x v="0"/>
    <x v="29"/>
    <x v="61"/>
    <n v="272.8"/>
    <n v="5.5"/>
    <s v="CJ Entertainment"/>
    <n v="129"/>
    <n v="89.7"/>
  </r>
  <r>
    <n v="65"/>
    <x v="64"/>
    <x v="23"/>
    <x v="3"/>
    <x v="1"/>
    <x v="24"/>
    <x v="62"/>
    <n v="80.8"/>
    <n v="5.6"/>
    <s v="Hombale Films"/>
    <n v="48.2"/>
    <n v="147.9"/>
  </r>
  <r>
    <n v="66"/>
    <x v="65"/>
    <x v="13"/>
    <x v="3"/>
    <x v="1"/>
    <x v="41"/>
    <x v="63"/>
    <n v="6.8"/>
    <n v="7.9"/>
    <s v="Yash Raj Films"/>
    <n v="3.7"/>
    <n v="119.4"/>
  </r>
  <r>
    <n v="67"/>
    <x v="66"/>
    <x v="4"/>
    <x v="3"/>
    <x v="2"/>
    <x v="45"/>
    <x v="64"/>
    <n v="361"/>
    <n v="8"/>
    <s v="Sony Pictures"/>
    <n v="262"/>
    <n v="264.6"/>
  </r>
  <r>
    <n v="68"/>
    <x v="67"/>
    <x v="23"/>
    <x v="6"/>
    <x v="2"/>
    <x v="15"/>
    <x v="65"/>
    <n v="190.7"/>
    <n v="6.6"/>
    <s v="Lionsgate"/>
    <n v="87.5"/>
    <n v="84.8"/>
  </r>
  <r>
    <n v="69"/>
    <x v="68"/>
    <x v="10"/>
    <x v="3"/>
    <x v="2"/>
    <x v="46"/>
    <x v="66"/>
    <n v="54.5"/>
    <n v="6"/>
    <s v="Pixar"/>
    <n v="2.1"/>
    <n v="4"/>
  </r>
  <r>
    <n v="70"/>
    <x v="69"/>
    <x v="15"/>
    <x v="5"/>
    <x v="1"/>
    <x v="47"/>
    <x v="67"/>
    <n v="54.7"/>
    <n v="6.5"/>
    <s v="Yash Raj Films"/>
    <n v="32"/>
    <n v="141"/>
  </r>
  <r>
    <n v="71"/>
    <x v="70"/>
    <x v="8"/>
    <x v="1"/>
    <x v="1"/>
    <x v="26"/>
    <x v="68"/>
    <n v="7.2"/>
    <n v="7.6"/>
    <s v="Aamir Khan Productions"/>
    <n v="4.9"/>
    <n v="213"/>
  </r>
  <r>
    <n v="72"/>
    <x v="71"/>
    <x v="18"/>
    <x v="4"/>
    <x v="2"/>
    <x v="48"/>
    <x v="69"/>
    <n v="125.7"/>
    <n v="7.6"/>
    <s v="Pixar"/>
    <n v="89.2"/>
    <n v="244.4"/>
  </r>
  <r>
    <n v="73"/>
    <x v="72"/>
    <x v="14"/>
    <x v="0"/>
    <x v="2"/>
    <x v="7"/>
    <x v="70"/>
    <n v="396.2"/>
    <n v="7.1"/>
    <s v="Pixar"/>
    <n v="267.5"/>
    <n v="207.8"/>
  </r>
  <r>
    <n v="74"/>
    <x v="73"/>
    <x v="28"/>
    <x v="1"/>
    <x v="6"/>
    <x v="10"/>
    <x v="71"/>
    <n v="101.5"/>
    <n v="6.1"/>
    <s v="Disney"/>
    <n v="80.8"/>
    <n v="390.3"/>
  </r>
  <r>
    <n v="75"/>
    <x v="74"/>
    <x v="16"/>
    <x v="0"/>
    <x v="2"/>
    <x v="49"/>
    <x v="72"/>
    <n v="83.59999999999999"/>
    <n v="6.7"/>
    <s v="Sony Pictures"/>
    <n v="-15.5"/>
    <n v="-15.6"/>
  </r>
  <r>
    <n v="76"/>
    <x v="75"/>
    <x v="34"/>
    <x v="7"/>
    <x v="2"/>
    <x v="26"/>
    <x v="73"/>
    <n v="192.1"/>
    <n v="6.4"/>
    <s v="Disney"/>
    <n v="124.7"/>
    <n v="185"/>
  </r>
  <r>
    <n v="77"/>
    <x v="76"/>
    <x v="28"/>
    <x v="2"/>
    <x v="5"/>
    <x v="50"/>
    <x v="74"/>
    <n v="277.6"/>
    <n v="7.4"/>
    <s v="Universal"/>
    <n v="216.1"/>
    <n v="351.4"/>
  </r>
  <r>
    <n v="78"/>
    <x v="77"/>
    <x v="15"/>
    <x v="0"/>
    <x v="1"/>
    <x v="50"/>
    <x v="75"/>
    <n v="15.4"/>
    <n v="4.6"/>
    <s v="Aamir Khan Productions"/>
    <n v="0.6"/>
    <n v="4.1"/>
  </r>
  <r>
    <n v="79"/>
    <x v="78"/>
    <x v="26"/>
    <x v="1"/>
    <x v="2"/>
    <x v="46"/>
    <x v="76"/>
    <n v="133.4"/>
    <n v="5.5"/>
    <s v="Paramount"/>
    <n v="67.90000000000001"/>
    <n v="103.7"/>
  </r>
  <r>
    <n v="80"/>
    <x v="79"/>
    <x v="27"/>
    <x v="1"/>
    <x v="2"/>
    <x v="51"/>
    <x v="77"/>
    <n v="236.6"/>
    <n v="6.6"/>
    <s v="Marvel"/>
    <n v="98.3"/>
    <n v="71.09999999999999"/>
  </r>
  <r>
    <n v="81"/>
    <x v="80"/>
    <x v="3"/>
    <x v="5"/>
    <x v="1"/>
    <x v="52"/>
    <x v="78"/>
    <n v="27.2"/>
    <n v="7.3"/>
    <s v="Yash Raj Films"/>
    <n v="16.9"/>
    <n v="164.1"/>
  </r>
  <r>
    <n v="82"/>
    <x v="81"/>
    <x v="33"/>
    <x v="9"/>
    <x v="7"/>
    <x v="35"/>
    <x v="79"/>
    <n v="287.7"/>
    <n v="7.7"/>
    <s v="A24"/>
    <n v="190.8"/>
    <n v="196.9"/>
  </r>
  <r>
    <n v="83"/>
    <x v="82"/>
    <x v="7"/>
    <x v="0"/>
    <x v="0"/>
    <x v="53"/>
    <x v="80"/>
    <n v="279.8"/>
    <n v="6.6"/>
    <s v="CJ Entertainment"/>
    <n v="177.2"/>
    <n v="172.7"/>
  </r>
  <r>
    <n v="84"/>
    <x v="83"/>
    <x v="29"/>
    <x v="8"/>
    <x v="1"/>
    <x v="54"/>
    <x v="81"/>
    <n v="19.8"/>
    <n v="6.9"/>
    <s v="Hombale Films"/>
    <n v="4.5"/>
    <n v="29.4"/>
  </r>
  <r>
    <n v="85"/>
    <x v="84"/>
    <x v="29"/>
    <x v="3"/>
    <x v="2"/>
    <x v="13"/>
    <x v="82"/>
    <n v="167"/>
    <n v="7.6"/>
    <s v="20th Century Fox"/>
    <n v="13.7"/>
    <n v="8.9"/>
  </r>
  <r>
    <n v="86"/>
    <x v="85"/>
    <x v="11"/>
    <x v="8"/>
    <x v="1"/>
    <x v="51"/>
    <x v="83"/>
    <n v="17.2"/>
    <n v="7.7"/>
    <s v="Hombale Films"/>
    <n v="-7.6"/>
    <n v="-30.6"/>
  </r>
  <r>
    <n v="87"/>
    <x v="86"/>
    <x v="34"/>
    <x v="1"/>
    <x v="6"/>
    <x v="34"/>
    <x v="84"/>
    <n v="55.6"/>
    <n v="7.8"/>
    <s v="Sony Pictures"/>
    <n v="9"/>
    <n v="19.3"/>
  </r>
  <r>
    <n v="88"/>
    <x v="87"/>
    <x v="19"/>
    <x v="3"/>
    <x v="0"/>
    <x v="9"/>
    <x v="34"/>
    <n v="46.7"/>
    <n v="6"/>
    <s v="CJ Entertainment"/>
    <n v="10.3"/>
    <n v="28.3"/>
  </r>
  <r>
    <n v="89"/>
    <x v="88"/>
    <x v="27"/>
    <x v="9"/>
    <x v="2"/>
    <x v="55"/>
    <x v="85"/>
    <n v="58.1"/>
    <n v="7.3"/>
    <s v="20th Century Fox"/>
    <n v="-4.2"/>
    <n v="-6.7"/>
  </r>
  <r>
    <n v="90"/>
    <x v="89"/>
    <x v="22"/>
    <x v="0"/>
    <x v="7"/>
    <x v="56"/>
    <x v="86"/>
    <n v="29.7"/>
    <n v="8.300000000000001"/>
    <s v="Universal"/>
    <n v="-11.7"/>
    <n v="-28.3"/>
  </r>
  <r>
    <n v="91"/>
    <x v="90"/>
    <x v="0"/>
    <x v="3"/>
    <x v="6"/>
    <x v="33"/>
    <x v="87"/>
    <n v="467.3"/>
    <n v="6.6"/>
    <s v="Paramount"/>
    <n v="319.6"/>
    <n v="216.4"/>
  </r>
  <r>
    <n v="92"/>
    <x v="91"/>
    <x v="3"/>
    <x v="0"/>
    <x v="5"/>
    <x v="57"/>
    <x v="88"/>
    <n v="215.7"/>
    <n v="7.2"/>
    <s v="Universal"/>
    <n v="95.2"/>
    <n v="79"/>
  </r>
  <r>
    <n v="93"/>
    <x v="92"/>
    <x v="18"/>
    <x v="4"/>
    <x v="5"/>
    <x v="58"/>
    <x v="89"/>
    <n v="27.4"/>
    <n v="6.5"/>
    <s v="Disney"/>
    <n v="6.8"/>
    <n v="33"/>
  </r>
  <r>
    <n v="94"/>
    <x v="93"/>
    <x v="15"/>
    <x v="3"/>
    <x v="1"/>
    <x v="59"/>
    <x v="90"/>
    <n v="218.5"/>
    <n v="5.6"/>
    <s v="Aamir Khan Productions"/>
    <n v="152.3"/>
    <n v="230.1"/>
  </r>
  <r>
    <n v="95"/>
    <x v="94"/>
    <x v="31"/>
    <x v="1"/>
    <x v="2"/>
    <x v="60"/>
    <x v="91"/>
    <n v="110.7"/>
    <n v="9.1"/>
    <s v="20th Century Fox"/>
    <n v="59.9"/>
    <n v="117.9"/>
  </r>
  <r>
    <n v="96"/>
    <x v="95"/>
    <x v="0"/>
    <x v="4"/>
    <x v="1"/>
    <x v="61"/>
    <x v="92"/>
    <n v="71.2"/>
    <n v="4.7"/>
    <s v="Yash Raj Films"/>
    <n v="37.2"/>
    <n v="109.4"/>
  </r>
  <r>
    <n v="97"/>
    <x v="96"/>
    <x v="11"/>
    <x v="1"/>
    <x v="2"/>
    <x v="61"/>
    <x v="93"/>
    <n v="230.2"/>
    <n v="7.6"/>
    <s v="Warner Bros."/>
    <n v="175.1"/>
    <n v="317.8"/>
  </r>
  <r>
    <n v="98"/>
    <x v="97"/>
    <x v="16"/>
    <x v="9"/>
    <x v="2"/>
    <x v="12"/>
    <x v="94"/>
    <n v="117.3"/>
    <n v="8"/>
    <s v="Marvel"/>
    <n v="63.7"/>
    <n v="118.8"/>
  </r>
  <r>
    <n v="99"/>
    <x v="98"/>
    <x v="17"/>
    <x v="0"/>
    <x v="1"/>
    <x v="17"/>
    <x v="95"/>
    <n v="38.6"/>
    <n v="6.8"/>
    <s v="Hombale Films"/>
    <n v="21.3"/>
    <n v="123.1"/>
  </r>
  <r>
    <n v="100"/>
    <x v="99"/>
    <x v="9"/>
    <x v="2"/>
    <x v="7"/>
    <x v="15"/>
    <x v="96"/>
    <n v="54.9"/>
    <n v="7.7"/>
    <s v="Universal"/>
    <n v="26"/>
    <n v="90"/>
  </r>
  <r>
    <n v="101"/>
    <x v="100"/>
    <x v="18"/>
    <x v="3"/>
    <x v="2"/>
    <x v="62"/>
    <x v="97"/>
    <n v="459.4"/>
    <n v="7.3"/>
    <s v="20th Century Fox"/>
    <n v="334.6"/>
    <n v="268.1"/>
  </r>
  <r>
    <n v="102"/>
    <x v="101"/>
    <x v="5"/>
    <x v="0"/>
    <x v="2"/>
    <x v="6"/>
    <x v="98"/>
    <n v="293.1"/>
    <n v="6.5"/>
    <s v="20th Century Fox"/>
    <n v="135"/>
    <n v="85.40000000000001"/>
  </r>
  <r>
    <n v="103"/>
    <x v="102"/>
    <x v="7"/>
    <x v="8"/>
    <x v="1"/>
    <x v="48"/>
    <x v="99"/>
    <n v="18.8"/>
    <n v="7"/>
    <s v="Mythri Movie Makers"/>
    <n v="6.4"/>
    <n v="51.6"/>
  </r>
  <r>
    <n v="104"/>
    <x v="103"/>
    <x v="14"/>
    <x v="0"/>
    <x v="2"/>
    <x v="63"/>
    <x v="100"/>
    <n v="149.8"/>
    <n v="6.7"/>
    <s v="Pixar"/>
    <n v="109.1"/>
    <n v="268.1"/>
  </r>
  <r>
    <n v="105"/>
    <x v="104"/>
    <x v="34"/>
    <x v="3"/>
    <x v="4"/>
    <x v="64"/>
    <x v="101"/>
    <n v="294.3"/>
    <n v="8"/>
    <s v="Sony Pictures"/>
    <n v="196"/>
    <n v="199.4"/>
  </r>
  <r>
    <n v="106"/>
    <x v="105"/>
    <x v="4"/>
    <x v="3"/>
    <x v="2"/>
    <x v="58"/>
    <x v="102"/>
    <n v="206.2"/>
    <n v="6.3"/>
    <s v="Pixar"/>
    <n v="77.40000000000001"/>
    <n v="60.1"/>
  </r>
  <r>
    <n v="107"/>
    <x v="106"/>
    <x v="31"/>
    <x v="1"/>
    <x v="1"/>
    <x v="28"/>
    <x v="103"/>
    <n v="22.2"/>
    <n v="6.9"/>
    <s v="Mythri Movie Makers"/>
    <n v="16.5"/>
    <n v="289.5"/>
  </r>
  <r>
    <n v="108"/>
    <x v="107"/>
    <x v="28"/>
    <x v="6"/>
    <x v="2"/>
    <x v="20"/>
    <x v="104"/>
    <n v="255"/>
    <n v="7.6"/>
    <s v="Disney"/>
    <n v="195.9"/>
    <n v="331.5"/>
  </r>
  <r>
    <n v="109"/>
    <x v="108"/>
    <x v="10"/>
    <x v="5"/>
    <x v="2"/>
    <x v="19"/>
    <x v="105"/>
    <n v="257.8"/>
    <n v="7.4"/>
    <s v="Universal"/>
    <n v="185.3"/>
    <n v="255.6"/>
  </r>
  <r>
    <n v="110"/>
    <x v="109"/>
    <x v="19"/>
    <x v="3"/>
    <x v="2"/>
    <x v="65"/>
    <x v="106"/>
    <n v="718.8"/>
    <n v="6.5"/>
    <s v="Warner Bros."/>
    <n v="493.9"/>
    <n v="219.6"/>
  </r>
  <r>
    <n v="111"/>
    <x v="110"/>
    <x v="22"/>
    <x v="0"/>
    <x v="7"/>
    <x v="18"/>
    <x v="107"/>
    <n v="36.9"/>
    <n v="5.9"/>
    <s v="Disney"/>
    <n v="16.9"/>
    <n v="84.5"/>
  </r>
  <r>
    <n v="112"/>
    <x v="111"/>
    <x v="24"/>
    <x v="7"/>
    <x v="4"/>
    <x v="15"/>
    <x v="108"/>
    <n v="384.2"/>
    <n v="7.1"/>
    <s v="Disney"/>
    <n v="317.2"/>
    <n v="473.4"/>
  </r>
  <r>
    <n v="113"/>
    <x v="112"/>
    <x v="33"/>
    <x v="0"/>
    <x v="0"/>
    <x v="66"/>
    <x v="109"/>
    <n v="664.3"/>
    <n v="7.4"/>
    <s v="CJ Entertainment"/>
    <n v="264.3"/>
    <n v="66.09999999999999"/>
  </r>
  <r>
    <n v="114"/>
    <x v="113"/>
    <x v="21"/>
    <x v="2"/>
    <x v="1"/>
    <x v="61"/>
    <x v="110"/>
    <n v="29"/>
    <n v="7.9"/>
    <s v="Aamir Khan Productions"/>
    <n v="20.5"/>
    <n v="241.2"/>
  </r>
  <r>
    <n v="115"/>
    <x v="114"/>
    <x v="14"/>
    <x v="6"/>
    <x v="2"/>
    <x v="33"/>
    <x v="111"/>
    <n v="310.8"/>
    <n v="8.4"/>
    <s v="Marvel"/>
    <n v="171.8"/>
    <n v="123.6"/>
  </r>
  <r>
    <n v="116"/>
    <x v="115"/>
    <x v="34"/>
    <x v="5"/>
    <x v="2"/>
    <x v="67"/>
    <x v="112"/>
    <n v="32.8"/>
    <n v="7.8"/>
    <s v="Marvel"/>
    <n v="23.9"/>
    <n v="268.5"/>
  </r>
  <r>
    <n v="117"/>
    <x v="116"/>
    <x v="19"/>
    <x v="3"/>
    <x v="1"/>
    <x v="32"/>
    <x v="99"/>
    <n v="38.3"/>
    <n v="6.6"/>
    <s v="Panorama Studios"/>
    <n v="25.9"/>
    <n v="208.9"/>
  </r>
  <r>
    <n v="118"/>
    <x v="117"/>
    <x v="24"/>
    <x v="7"/>
    <x v="6"/>
    <x v="16"/>
    <x v="113"/>
    <n v="392.5"/>
    <n v="6.6"/>
    <s v="Universal"/>
    <n v="180"/>
    <n v="84.7"/>
  </r>
  <r>
    <n v="119"/>
    <x v="118"/>
    <x v="17"/>
    <x v="4"/>
    <x v="2"/>
    <x v="44"/>
    <x v="69"/>
    <n v="24.6"/>
    <n v="5.4"/>
    <s v="Marvel"/>
    <n v="-11.9"/>
    <n v="-32.6"/>
  </r>
  <r>
    <n v="120"/>
    <x v="119"/>
    <x v="13"/>
    <x v="3"/>
    <x v="4"/>
    <x v="19"/>
    <x v="114"/>
    <n v="605.3"/>
    <n v="7.3"/>
    <s v="Sony Pictures"/>
    <n v="484"/>
    <n v="399"/>
  </r>
  <r>
    <n v="121"/>
    <x v="120"/>
    <x v="31"/>
    <x v="2"/>
    <x v="2"/>
    <x v="68"/>
    <x v="8"/>
    <n v="463.9"/>
    <n v="6.7"/>
    <s v="Universal"/>
    <n v="362.2"/>
    <n v="356.1"/>
  </r>
  <r>
    <n v="122"/>
    <x v="121"/>
    <x v="17"/>
    <x v="7"/>
    <x v="6"/>
    <x v="69"/>
    <x v="115"/>
    <n v="239.9"/>
    <n v="6"/>
    <s v="Pixar"/>
    <n v="190.8"/>
    <n v="388.6"/>
  </r>
  <r>
    <n v="123"/>
    <x v="122"/>
    <x v="14"/>
    <x v="3"/>
    <x v="1"/>
    <x v="5"/>
    <x v="25"/>
    <n v="56.5"/>
    <n v="6.5"/>
    <s v="Panorama Studios"/>
    <n v="32.3"/>
    <n v="133.5"/>
  </r>
  <r>
    <n v="124"/>
    <x v="123"/>
    <x v="3"/>
    <x v="3"/>
    <x v="1"/>
    <x v="21"/>
    <x v="32"/>
    <n v="11"/>
    <n v="7.2"/>
    <s v="Hombale Films"/>
    <n v="4.7"/>
    <n v="74.59999999999999"/>
  </r>
  <r>
    <n v="125"/>
    <x v="124"/>
    <x v="8"/>
    <x v="3"/>
    <x v="1"/>
    <x v="24"/>
    <x v="116"/>
    <n v="46.4"/>
    <n v="4"/>
    <s v="Mythri Movie Makers"/>
    <n v="32.2"/>
    <n v="226.8"/>
  </r>
  <r>
    <n v="126"/>
    <x v="125"/>
    <x v="0"/>
    <x v="8"/>
    <x v="5"/>
    <x v="23"/>
    <x v="117"/>
    <n v="205.6"/>
    <n v="7.4"/>
    <s v="Warner Bros."/>
    <n v="127.8"/>
    <n v="164.3"/>
  </r>
  <r>
    <n v="127"/>
    <x v="126"/>
    <x v="6"/>
    <x v="3"/>
    <x v="2"/>
    <x v="9"/>
    <x v="118"/>
    <n v="456.4"/>
    <n v="7.1"/>
    <s v="Pixar"/>
    <n v="354.9"/>
    <n v="349.7"/>
  </r>
  <r>
    <n v="128"/>
    <x v="127"/>
    <x v="30"/>
    <x v="7"/>
    <x v="2"/>
    <x v="1"/>
    <x v="119"/>
    <n v="35.2"/>
    <n v="7"/>
    <s v="Universal"/>
    <n v="-42"/>
    <n v="-54.4"/>
  </r>
  <r>
    <n v="129"/>
    <x v="128"/>
    <x v="19"/>
    <x v="7"/>
    <x v="2"/>
    <x v="55"/>
    <x v="120"/>
    <n v="17.7"/>
    <n v="6.9"/>
    <s v="Universal"/>
    <n v="2"/>
    <n v="12.7"/>
  </r>
  <r>
    <n v="130"/>
    <x v="129"/>
    <x v="35"/>
    <x v="5"/>
    <x v="2"/>
    <x v="27"/>
    <x v="121"/>
    <n v="626.2"/>
    <n v="5.8"/>
    <s v="Marvel"/>
    <n v="465.2"/>
    <n v="288.9"/>
  </r>
  <r>
    <n v="131"/>
    <x v="130"/>
    <x v="0"/>
    <x v="5"/>
    <x v="2"/>
    <x v="70"/>
    <x v="122"/>
    <n v="147"/>
    <n v="7.2"/>
    <s v="Universal"/>
    <n v="99"/>
    <n v="206.2"/>
  </r>
  <r>
    <n v="132"/>
    <x v="131"/>
    <x v="26"/>
    <x v="3"/>
    <x v="2"/>
    <x v="38"/>
    <x v="123"/>
    <n v="48.2"/>
    <n v="6.6"/>
    <s v="Marvel"/>
    <n v="-37.4"/>
    <n v="-43.7"/>
  </r>
  <r>
    <n v="133"/>
    <x v="132"/>
    <x v="5"/>
    <x v="7"/>
    <x v="2"/>
    <x v="6"/>
    <x v="124"/>
    <n v="446.9"/>
    <n v="5.8"/>
    <s v="Sony Pictures"/>
    <n v="300.8"/>
    <n v="205.9"/>
  </r>
  <r>
    <n v="134"/>
    <x v="133"/>
    <x v="8"/>
    <x v="5"/>
    <x v="1"/>
    <x v="71"/>
    <x v="125"/>
    <n v="4.9"/>
    <n v="7.8"/>
    <s v="Mythri Movie Makers"/>
    <n v="-2.1"/>
    <n v="-30"/>
  </r>
  <r>
    <n v="135"/>
    <x v="134"/>
    <x v="17"/>
    <x v="8"/>
    <x v="2"/>
    <x v="28"/>
    <x v="126"/>
    <n v="64.5"/>
    <n v="7.9"/>
    <s v="Paramount"/>
    <n v="22"/>
    <n v="51.8"/>
  </r>
  <r>
    <n v="136"/>
    <x v="135"/>
    <x v="7"/>
    <x v="3"/>
    <x v="1"/>
    <x v="22"/>
    <x v="127"/>
    <n v="17.1"/>
    <n v="7.1"/>
    <s v="Aamir Khan Productions"/>
    <n v="-0.4"/>
    <n v="-2.3"/>
  </r>
  <r>
    <n v="137"/>
    <x v="136"/>
    <x v="14"/>
    <x v="3"/>
    <x v="2"/>
    <x v="55"/>
    <x v="128"/>
    <n v="185.3"/>
    <n v="8.199999999999999"/>
    <s v="Marvel"/>
    <n v="9.199999999999999"/>
    <n v="5.2"/>
  </r>
  <r>
    <n v="138"/>
    <x v="137"/>
    <x v="22"/>
    <x v="3"/>
    <x v="7"/>
    <x v="72"/>
    <x v="129"/>
    <n v="25.3"/>
    <n v="7.4"/>
    <s v="Universal"/>
    <n v="4"/>
    <n v="18.8"/>
  </r>
  <r>
    <n v="139"/>
    <x v="138"/>
    <x v="10"/>
    <x v="1"/>
    <x v="2"/>
    <x v="48"/>
    <x v="130"/>
    <n v="75"/>
    <n v="8.9"/>
    <s v="A24"/>
    <n v="12"/>
    <n v="19"/>
  </r>
  <r>
    <n v="140"/>
    <x v="139"/>
    <x v="18"/>
    <x v="4"/>
    <x v="1"/>
    <x v="21"/>
    <x v="13"/>
    <n v="48.5"/>
    <n v="7.5"/>
    <s v="Panorama Studios"/>
    <n v="33.9"/>
    <n v="232.2"/>
  </r>
  <r>
    <n v="141"/>
    <x v="140"/>
    <x v="14"/>
    <x v="3"/>
    <x v="1"/>
    <x v="1"/>
    <x v="131"/>
    <n v="17"/>
    <n v="7.3"/>
    <s v="Aamir Khan Productions"/>
    <n v="-28.7"/>
    <n v="-62.8"/>
  </r>
  <r>
    <n v="142"/>
    <x v="141"/>
    <x v="6"/>
    <x v="7"/>
    <x v="2"/>
    <x v="71"/>
    <x v="132"/>
    <n v="69.7"/>
    <n v="6.4"/>
    <s v="Pixar"/>
    <n v="12.9"/>
    <n v="22.7"/>
  </r>
  <r>
    <n v="143"/>
    <x v="142"/>
    <x v="15"/>
    <x v="6"/>
    <x v="1"/>
    <x v="0"/>
    <x v="133"/>
    <n v="16.4"/>
    <n v="7.2"/>
    <s v="Aamir Khan Productions"/>
    <n v="9.800000000000001"/>
    <n v="148.5"/>
  </r>
  <r>
    <n v="144"/>
    <x v="143"/>
    <x v="33"/>
    <x v="7"/>
    <x v="3"/>
    <x v="73"/>
    <x v="134"/>
    <n v="370.4"/>
    <n v="8"/>
    <s v="Universal"/>
    <n v="299.6"/>
    <n v="423.2"/>
  </r>
  <r>
    <n v="145"/>
    <x v="144"/>
    <x v="15"/>
    <x v="4"/>
    <x v="2"/>
    <x v="74"/>
    <x v="135"/>
    <n v="165.6"/>
    <n v="6.8"/>
    <s v="Lionsgate"/>
    <n v="119.6"/>
    <n v="260"/>
  </r>
  <r>
    <n v="146"/>
    <x v="145"/>
    <x v="35"/>
    <x v="2"/>
    <x v="2"/>
    <x v="75"/>
    <x v="136"/>
    <n v="37.6"/>
    <n v="8"/>
    <s v="A24"/>
    <n v="-18.9"/>
    <n v="-33.5"/>
  </r>
  <r>
    <n v="147"/>
    <x v="146"/>
    <x v="18"/>
    <x v="3"/>
    <x v="1"/>
    <x v="23"/>
    <x v="137"/>
    <n v="20.5"/>
    <n v="6.7"/>
    <s v="Hombale Films"/>
    <n v="8.6"/>
    <n v="72.3"/>
  </r>
  <r>
    <n v="148"/>
    <x v="147"/>
    <x v="8"/>
    <x v="0"/>
    <x v="2"/>
    <x v="37"/>
    <x v="138"/>
    <n v="274.2"/>
    <n v="7.9"/>
    <s v="Paramount"/>
    <n v="143.4"/>
    <n v="109.6"/>
  </r>
  <r>
    <n v="149"/>
    <x v="148"/>
    <x v="34"/>
    <x v="5"/>
    <x v="1"/>
    <x v="7"/>
    <x v="139"/>
    <n v="40.8"/>
    <n v="7"/>
    <s v="Mythri Movie Makers"/>
    <n v="14.5"/>
    <n v="55.1"/>
  </r>
  <r>
    <n v="150"/>
    <x v="149"/>
    <x v="19"/>
    <x v="1"/>
    <x v="5"/>
    <x v="50"/>
    <x v="140"/>
    <n v="78.5"/>
    <n v="5.9"/>
    <s v="Disney"/>
    <n v="45.1"/>
    <n v="135"/>
  </r>
  <r>
    <n v="151"/>
    <x v="150"/>
    <x v="18"/>
    <x v="6"/>
    <x v="1"/>
    <x v="62"/>
    <x v="141"/>
    <n v="17.6"/>
    <n v="7.6"/>
    <s v="Aamir Khan Productions"/>
    <n v="8"/>
    <n v="83.3"/>
  </r>
  <r>
    <n v="152"/>
    <x v="151"/>
    <x v="29"/>
    <x v="1"/>
    <x v="2"/>
    <x v="21"/>
    <x v="142"/>
    <n v="158.6"/>
    <n v="6.5"/>
    <s v="Marvel"/>
    <n v="79.09999999999999"/>
    <n v="99.5"/>
  </r>
  <r>
    <n v="153"/>
    <x v="152"/>
    <x v="2"/>
    <x v="0"/>
    <x v="1"/>
    <x v="76"/>
    <x v="60"/>
    <n v="5.4"/>
    <n v="7.2"/>
    <s v="Aamir Khan Productions"/>
    <n v="-4.4"/>
    <n v="-44.9"/>
  </r>
  <r>
    <n v="154"/>
    <x v="153"/>
    <x v="27"/>
    <x v="6"/>
    <x v="2"/>
    <x v="77"/>
    <x v="143"/>
    <n v="350.5"/>
    <n v="5.8"/>
    <s v="Paramount"/>
    <n v="244.7"/>
    <n v="231.3"/>
  </r>
  <r>
    <n v="155"/>
    <x v="154"/>
    <x v="20"/>
    <x v="9"/>
    <x v="1"/>
    <x v="20"/>
    <x v="144"/>
    <n v="25.1"/>
    <n v="8"/>
    <s v="Aamir Khan Productions"/>
    <n v="13.9"/>
    <n v="124.1"/>
  </r>
  <r>
    <n v="156"/>
    <x v="155"/>
    <x v="20"/>
    <x v="0"/>
    <x v="2"/>
    <x v="7"/>
    <x v="145"/>
    <n v="239.4"/>
    <n v="6.2"/>
    <s v="Paramount"/>
    <n v="180.5"/>
    <n v="306.5"/>
  </r>
  <r>
    <n v="157"/>
    <x v="156"/>
    <x v="25"/>
    <x v="3"/>
    <x v="7"/>
    <x v="78"/>
    <x v="146"/>
    <n v="29.3"/>
    <n v="5.7"/>
    <s v="Paramount"/>
    <n v="-26.1"/>
    <n v="-47.1"/>
  </r>
  <r>
    <n v="158"/>
    <x v="157"/>
    <x v="4"/>
    <x v="6"/>
    <x v="2"/>
    <x v="72"/>
    <x v="147"/>
    <n v="102.3"/>
    <n v="7.7"/>
    <s v="Universal"/>
    <n v="70.09999999999999"/>
    <n v="217.7"/>
  </r>
  <r>
    <n v="159"/>
    <x v="158"/>
    <x v="1"/>
    <x v="3"/>
    <x v="1"/>
    <x v="69"/>
    <x v="148"/>
    <n v="13.9"/>
    <n v="7.3"/>
    <s v="Panorama Studios"/>
    <n v="2.1"/>
    <n v="17.8"/>
  </r>
  <r>
    <n v="160"/>
    <x v="159"/>
    <x v="33"/>
    <x v="3"/>
    <x v="6"/>
    <x v="27"/>
    <x v="149"/>
    <n v="250.1"/>
    <n v="8.699999999999999"/>
    <s v="Disney"/>
    <n v="128.1"/>
    <n v="105"/>
  </r>
  <r>
    <n v="161"/>
    <x v="160"/>
    <x v="19"/>
    <x v="2"/>
    <x v="2"/>
    <x v="79"/>
    <x v="150"/>
    <n v="142.6"/>
    <n v="7.4"/>
    <s v="Pixar"/>
    <n v="66.7"/>
    <n v="87.90000000000001"/>
  </r>
  <r>
    <n v="162"/>
    <x v="161"/>
    <x v="34"/>
    <x v="6"/>
    <x v="6"/>
    <x v="40"/>
    <x v="151"/>
    <n v="160.2"/>
    <n v="6.9"/>
    <s v="20th Century Fox"/>
    <n v="-10.8"/>
    <n v="-6.3"/>
  </r>
  <r>
    <n v="163"/>
    <x v="162"/>
    <x v="31"/>
    <x v="3"/>
    <x v="2"/>
    <x v="36"/>
    <x v="152"/>
    <n v="76.8"/>
    <n v="5.7"/>
    <s v="Lionsgate"/>
    <n v="42.4"/>
    <n v="123.3"/>
  </r>
  <r>
    <n v="164"/>
    <x v="163"/>
    <x v="7"/>
    <x v="0"/>
    <x v="2"/>
    <x v="12"/>
    <x v="153"/>
    <n v="309"/>
    <n v="6.2"/>
    <s v="Disney"/>
    <n v="217.8"/>
    <n v="238.8"/>
  </r>
  <r>
    <n v="165"/>
    <x v="164"/>
    <x v="3"/>
    <x v="9"/>
    <x v="1"/>
    <x v="49"/>
    <x v="154"/>
    <n v="6"/>
    <n v="9.199999999999999"/>
    <s v="Aamir Khan Productions"/>
    <n v="2.5"/>
    <n v="71.40000000000001"/>
  </r>
  <r>
    <n v="166"/>
    <x v="165"/>
    <x v="4"/>
    <x v="7"/>
    <x v="4"/>
    <x v="6"/>
    <x v="155"/>
    <n v="215.2"/>
    <n v="7.4"/>
    <s v="Pixar"/>
    <n v="100.4"/>
    <n v="87.5"/>
  </r>
  <r>
    <n v="167"/>
    <x v="166"/>
    <x v="5"/>
    <x v="9"/>
    <x v="2"/>
    <x v="68"/>
    <x v="156"/>
    <n v="113"/>
    <n v="8.9"/>
    <s v="Sony Pictures"/>
    <n v="65.8"/>
    <n v="139.4"/>
  </r>
  <r>
    <n v="168"/>
    <x v="167"/>
    <x v="0"/>
    <x v="5"/>
    <x v="2"/>
    <x v="0"/>
    <x v="157"/>
    <n v="294.7"/>
    <n v="7.8"/>
    <s v="Lionsgate"/>
    <n v="92.3"/>
    <n v="45.6"/>
  </r>
  <r>
    <n v="169"/>
    <x v="168"/>
    <x v="34"/>
    <x v="7"/>
    <x v="2"/>
    <x v="80"/>
    <x v="101"/>
    <n v="346.2"/>
    <n v="6.6"/>
    <s v="Universal"/>
    <n v="247.9"/>
    <n v="252.2"/>
  </r>
  <r>
    <n v="170"/>
    <x v="169"/>
    <x v="28"/>
    <x v="9"/>
    <x v="2"/>
    <x v="48"/>
    <x v="158"/>
    <n v="102.9"/>
    <n v="7.2"/>
    <s v="Sony Pictures"/>
    <n v="60.8"/>
    <n v="144.4"/>
  </r>
  <r>
    <n v="171"/>
    <x v="170"/>
    <x v="12"/>
    <x v="1"/>
    <x v="6"/>
    <x v="72"/>
    <x v="159"/>
    <n v="61.1"/>
    <n v="6"/>
    <s v="Lionsgate"/>
    <n v="36.5"/>
    <n v="148.4"/>
  </r>
  <r>
    <n v="172"/>
    <x v="171"/>
    <x v="34"/>
    <x v="0"/>
    <x v="1"/>
    <x v="38"/>
    <x v="160"/>
    <n v="14.4"/>
    <n v="7.7"/>
    <s v="Mythri Movie Makers"/>
    <n v="-4.2"/>
    <n v="-22.6"/>
  </r>
  <r>
    <n v="173"/>
    <x v="172"/>
    <x v="25"/>
    <x v="0"/>
    <x v="4"/>
    <x v="17"/>
    <x v="147"/>
    <n v="43.2"/>
    <n v="7.6"/>
    <s v="Warner Bros."/>
    <n v="11"/>
    <n v="34.2"/>
  </r>
  <r>
    <n v="174"/>
    <x v="173"/>
    <x v="3"/>
    <x v="9"/>
    <x v="1"/>
    <x v="47"/>
    <x v="161"/>
    <n v="38.3"/>
    <n v="5.7"/>
    <s v="Mythri Movie Makers"/>
    <n v="18.5"/>
    <n v="93.40000000000001"/>
  </r>
  <r>
    <n v="175"/>
    <x v="174"/>
    <x v="5"/>
    <x v="2"/>
    <x v="2"/>
    <x v="81"/>
    <x v="162"/>
    <n v="702.4"/>
    <n v="6.4"/>
    <s v="Disney"/>
    <n v="560"/>
    <n v="393.3"/>
  </r>
  <r>
    <n v="176"/>
    <x v="175"/>
    <x v="6"/>
    <x v="1"/>
    <x v="2"/>
    <x v="22"/>
    <x v="163"/>
    <n v="31.7"/>
    <n v="6"/>
    <s v="Warner Bros."/>
    <n v="-8.199999999999999"/>
    <n v="-20.6"/>
  </r>
  <r>
    <n v="177"/>
    <x v="176"/>
    <x v="19"/>
    <x v="6"/>
    <x v="2"/>
    <x v="18"/>
    <x v="164"/>
    <n v="64.7"/>
    <n v="6.9"/>
    <s v="Paramount"/>
    <n v="44.5"/>
    <n v="220.3"/>
  </r>
  <r>
    <n v="178"/>
    <x v="177"/>
    <x v="10"/>
    <x v="6"/>
    <x v="6"/>
    <x v="76"/>
    <x v="165"/>
    <n v="37.1"/>
    <n v="8.699999999999999"/>
    <s v="Disney"/>
    <n v="-16.4"/>
    <n v="-30.7"/>
  </r>
  <r>
    <n v="179"/>
    <x v="178"/>
    <x v="28"/>
    <x v="2"/>
    <x v="0"/>
    <x v="69"/>
    <x v="166"/>
    <n v="138.4"/>
    <n v="8.300000000000001"/>
    <s v="CJ Entertainment"/>
    <n v="105.4"/>
    <n v="319.4"/>
  </r>
  <r>
    <n v="180"/>
    <x v="179"/>
    <x v="20"/>
    <x v="4"/>
    <x v="2"/>
    <x v="19"/>
    <x v="167"/>
    <n v="163.6"/>
    <n v="6.8"/>
    <s v="20th Century Fox"/>
    <n v="135"/>
    <n v="472"/>
  </r>
  <r>
    <n v="181"/>
    <x v="180"/>
    <x v="26"/>
    <x v="7"/>
    <x v="2"/>
    <x v="3"/>
    <x v="18"/>
    <n v="213.7"/>
    <n v="7.2"/>
    <s v="Disney"/>
    <n v="174.9"/>
    <n v="450.8"/>
  </r>
  <r>
    <n v="182"/>
    <x v="181"/>
    <x v="16"/>
    <x v="3"/>
    <x v="2"/>
    <x v="82"/>
    <x v="168"/>
    <n v="30.7"/>
    <n v="5.9"/>
    <s v="20th Century Fox"/>
    <n v="-5.3"/>
    <n v="-14.7"/>
  </r>
  <r>
    <n v="183"/>
    <x v="182"/>
    <x v="23"/>
    <x v="0"/>
    <x v="2"/>
    <x v="83"/>
    <x v="169"/>
    <n v="35.8"/>
    <n v="7.9"/>
    <s v="Disney"/>
    <n v="22.9"/>
    <n v="177.5"/>
  </r>
  <r>
    <n v="184"/>
    <x v="183"/>
    <x v="8"/>
    <x v="2"/>
    <x v="1"/>
    <x v="42"/>
    <x v="170"/>
    <n v="22.4"/>
    <n v="7"/>
    <s v="Hombale Films"/>
    <n v="9.6"/>
    <n v="75"/>
  </r>
  <r>
    <n v="185"/>
    <x v="184"/>
    <x v="13"/>
    <x v="1"/>
    <x v="1"/>
    <x v="17"/>
    <x v="171"/>
    <n v="10.6"/>
    <n v="6.7"/>
    <s v="Aamir Khan Productions"/>
    <n v="-14.4"/>
    <n v="-57.6"/>
  </r>
  <r>
    <n v="186"/>
    <x v="185"/>
    <x v="29"/>
    <x v="2"/>
    <x v="6"/>
    <x v="17"/>
    <x v="172"/>
    <n v="146.8"/>
    <n v="5.7"/>
    <s v="Sony Pictures"/>
    <n v="17.9"/>
    <n v="13.9"/>
  </r>
  <r>
    <n v="187"/>
    <x v="186"/>
    <x v="24"/>
    <x v="5"/>
    <x v="2"/>
    <x v="40"/>
    <x v="173"/>
    <n v="187.4"/>
    <n v="5.7"/>
    <s v="Disney"/>
    <n v="102.8"/>
    <n v="121.5"/>
  </r>
  <r>
    <n v="188"/>
    <x v="187"/>
    <x v="33"/>
    <x v="2"/>
    <x v="2"/>
    <x v="42"/>
    <x v="174"/>
    <n v="116.3"/>
    <n v="7"/>
    <s v="Universal"/>
    <n v="84.2"/>
    <n v="262.3"/>
  </r>
  <r>
    <n v="189"/>
    <x v="188"/>
    <x v="0"/>
    <x v="3"/>
    <x v="1"/>
    <x v="63"/>
    <x v="75"/>
    <n v="15.8"/>
    <n v="8.6"/>
    <s v="Yash Raj Films"/>
    <n v="1"/>
    <n v="6.8"/>
  </r>
  <r>
    <n v="190"/>
    <x v="189"/>
    <x v="30"/>
    <x v="6"/>
    <x v="1"/>
    <x v="69"/>
    <x v="175"/>
    <n v="16.3"/>
    <n v="6.6"/>
    <s v="Yash Raj Films"/>
    <n v="9.6"/>
    <n v="143.3"/>
  </r>
  <r>
    <n v="191"/>
    <x v="190"/>
    <x v="6"/>
    <x v="4"/>
    <x v="7"/>
    <x v="72"/>
    <x v="176"/>
    <n v="149.1"/>
    <n v="7.9"/>
    <s v="Universal"/>
    <n v="119"/>
    <n v="395.3"/>
  </r>
  <r>
    <n v="192"/>
    <x v="191"/>
    <x v="7"/>
    <x v="9"/>
    <x v="2"/>
    <x v="55"/>
    <x v="177"/>
    <n v="60.9"/>
    <n v="7.8"/>
    <s v="20th Century Fox"/>
    <n v="-64.7"/>
    <n v="-51.5"/>
  </r>
  <r>
    <n v="193"/>
    <x v="192"/>
    <x v="19"/>
    <x v="3"/>
    <x v="2"/>
    <x v="22"/>
    <x v="178"/>
    <n v="38.6"/>
    <n v="5.8"/>
    <s v="Sony Pictures"/>
    <n v="2.8"/>
    <n v="7.8"/>
  </r>
  <r>
    <n v="194"/>
    <x v="193"/>
    <x v="1"/>
    <x v="7"/>
    <x v="1"/>
    <x v="27"/>
    <x v="137"/>
    <n v="9.699999999999999"/>
    <n v="7.6"/>
    <s v="Panorama Studios"/>
    <n v="-2.2"/>
    <n v="-18.5"/>
  </r>
  <r>
    <n v="195"/>
    <x v="194"/>
    <x v="5"/>
    <x v="4"/>
    <x v="1"/>
    <x v="6"/>
    <x v="179"/>
    <n v="16.8"/>
    <n v="8"/>
    <s v="Mythri Movie Makers"/>
    <n v="12.1"/>
    <n v="257.4"/>
  </r>
  <r>
    <n v="196"/>
    <x v="195"/>
    <x v="1"/>
    <x v="8"/>
    <x v="2"/>
    <x v="62"/>
    <x v="180"/>
    <n v="289.5"/>
    <n v="7.2"/>
    <s v="Warner Bros."/>
    <n v="197.4"/>
    <n v="214.3"/>
  </r>
  <r>
    <n v="197"/>
    <x v="196"/>
    <x v="0"/>
    <x v="0"/>
    <x v="1"/>
    <x v="14"/>
    <x v="174"/>
    <n v="46.8"/>
    <n v="5.7"/>
    <s v="Panorama Studios"/>
    <n v="14.7"/>
    <n v="45.8"/>
  </r>
  <r>
    <n v="198"/>
    <x v="197"/>
    <x v="14"/>
    <x v="3"/>
    <x v="2"/>
    <x v="53"/>
    <x v="181"/>
    <n v="25.8"/>
    <n v="7"/>
    <s v="Disney"/>
    <n v="-15.5"/>
    <n v="-37.5"/>
  </r>
  <r>
    <n v="199"/>
    <x v="198"/>
    <x v="4"/>
    <x v="6"/>
    <x v="2"/>
    <x v="71"/>
    <x v="182"/>
    <n v="173.4"/>
    <n v="6.1"/>
    <s v="A24"/>
    <n v="98.7"/>
    <n v="132.1"/>
  </r>
  <r>
    <n v="200"/>
    <x v="199"/>
    <x v="25"/>
    <x v="6"/>
    <x v="1"/>
    <x v="84"/>
    <x v="183"/>
    <n v="14.1"/>
    <n v="7.3"/>
    <s v="Aamir Khan Productions"/>
    <n v="0.4"/>
    <n v="2.9"/>
  </r>
  <r>
    <n v="201"/>
    <x v="200"/>
    <x v="3"/>
    <x v="9"/>
    <x v="2"/>
    <x v="23"/>
    <x v="184"/>
    <n v="22.4"/>
    <n v="7.1"/>
    <s v="Warner Bros."/>
    <n v="-11.2"/>
    <n v="-33.3"/>
  </r>
  <r>
    <n v="202"/>
    <x v="201"/>
    <x v="27"/>
    <x v="5"/>
    <x v="2"/>
    <x v="52"/>
    <x v="185"/>
    <n v="243.1"/>
    <n v="6.2"/>
    <s v="A24"/>
    <n v="179.9"/>
    <n v="284.7"/>
  </r>
  <r>
    <n v="203"/>
    <x v="202"/>
    <x v="24"/>
    <x v="7"/>
    <x v="1"/>
    <x v="65"/>
    <x v="186"/>
    <n v="6.1"/>
    <n v="7.6"/>
    <s v="Hombale Films"/>
    <n v="3.4"/>
    <n v="125.9"/>
  </r>
  <r>
    <n v="204"/>
    <x v="203"/>
    <x v="11"/>
    <x v="8"/>
    <x v="1"/>
    <x v="2"/>
    <x v="187"/>
    <n v="10.5"/>
    <n v="7.9"/>
    <s v="Hombale Films"/>
    <n v="6.1"/>
    <n v="138.6"/>
  </r>
  <r>
    <n v="205"/>
    <x v="204"/>
    <x v="33"/>
    <x v="8"/>
    <x v="2"/>
    <x v="77"/>
    <x v="188"/>
    <n v="48.8"/>
    <n v="8.1"/>
    <s v="Paramount"/>
    <n v="-28.7"/>
    <n v="-37"/>
  </r>
  <r>
    <n v="206"/>
    <x v="205"/>
    <x v="22"/>
    <x v="8"/>
    <x v="2"/>
    <x v="40"/>
    <x v="189"/>
    <n v="62.6"/>
    <n v="6.5"/>
    <s v="Marvel"/>
    <n v="-20.2"/>
    <n v="-24.4"/>
  </r>
  <r>
    <n v="207"/>
    <x v="206"/>
    <x v="30"/>
    <x v="4"/>
    <x v="2"/>
    <x v="85"/>
    <x v="190"/>
    <n v="458.6"/>
    <n v="7.6"/>
    <s v="Sony Pictures"/>
    <n v="313"/>
    <n v="215"/>
  </r>
  <r>
    <n v="208"/>
    <x v="207"/>
    <x v="0"/>
    <x v="3"/>
    <x v="4"/>
    <x v="84"/>
    <x v="191"/>
    <n v="85.3"/>
    <n v="7.1"/>
    <s v="A24"/>
    <n v="31.4"/>
    <n v="58.3"/>
  </r>
  <r>
    <n v="209"/>
    <x v="208"/>
    <x v="25"/>
    <x v="7"/>
    <x v="2"/>
    <x v="34"/>
    <x v="192"/>
    <n v="77.7"/>
    <n v="8.6"/>
    <s v="Universal"/>
    <n v="30.4"/>
    <n v="64.3"/>
  </r>
  <r>
    <n v="210"/>
    <x v="209"/>
    <x v="23"/>
    <x v="0"/>
    <x v="2"/>
    <x v="8"/>
    <x v="193"/>
    <n v="199.6"/>
    <n v="7.1"/>
    <s v="Pixar"/>
    <n v="140.8"/>
    <n v="239.5"/>
  </r>
  <r>
    <n v="211"/>
    <x v="210"/>
    <x v="33"/>
    <x v="5"/>
    <x v="2"/>
    <x v="46"/>
    <x v="194"/>
    <n v="488.7"/>
    <n v="7"/>
    <s v="Marvel"/>
    <n v="337.9"/>
    <n v="224.1"/>
  </r>
  <r>
    <n v="212"/>
    <x v="211"/>
    <x v="35"/>
    <x v="2"/>
    <x v="2"/>
    <x v="20"/>
    <x v="195"/>
    <n v="342.3"/>
    <n v="7.4"/>
    <s v="Universal"/>
    <n v="241.2"/>
    <n v="238.6"/>
  </r>
  <r>
    <n v="213"/>
    <x v="212"/>
    <x v="1"/>
    <x v="3"/>
    <x v="2"/>
    <x v="76"/>
    <x v="196"/>
    <n v="686.4"/>
    <n v="7.3"/>
    <s v="Lionsgate"/>
    <n v="518.8"/>
    <n v="309.5"/>
  </r>
  <r>
    <n v="214"/>
    <x v="213"/>
    <x v="34"/>
    <x v="1"/>
    <x v="1"/>
    <x v="39"/>
    <x v="197"/>
    <n v="125"/>
    <n v="8.800000000000001"/>
    <s v="Mythri Movie Makers"/>
    <n v="76.5"/>
    <n v="157.7"/>
  </r>
  <r>
    <n v="215"/>
    <x v="214"/>
    <x v="16"/>
    <x v="1"/>
    <x v="1"/>
    <x v="39"/>
    <x v="198"/>
    <n v="6.7"/>
    <n v="8.1"/>
    <s v="Yash Raj Films"/>
    <n v="-5.3"/>
    <n v="-44.2"/>
  </r>
  <r>
    <n v="216"/>
    <x v="215"/>
    <x v="30"/>
    <x v="7"/>
    <x v="2"/>
    <x v="73"/>
    <x v="199"/>
    <n v="140.5"/>
    <n v="6.3"/>
    <s v="Pixar"/>
    <n v="93.5"/>
    <n v="198.9"/>
  </r>
  <r>
    <n v="217"/>
    <x v="216"/>
    <x v="18"/>
    <x v="9"/>
    <x v="2"/>
    <x v="27"/>
    <x v="200"/>
    <n v="178"/>
    <n v="8.199999999999999"/>
    <s v="Pixar"/>
    <n v="77.8"/>
    <n v="77.59999999999999"/>
  </r>
  <r>
    <n v="218"/>
    <x v="217"/>
    <x v="23"/>
    <x v="6"/>
    <x v="6"/>
    <x v="52"/>
    <x v="201"/>
    <n v="48.7"/>
    <n v="7.4"/>
    <s v="Lionsgate"/>
    <n v="23.3"/>
    <n v="91.7"/>
  </r>
  <r>
    <n v="219"/>
    <x v="218"/>
    <x v="17"/>
    <x v="3"/>
    <x v="2"/>
    <x v="2"/>
    <x v="95"/>
    <n v="31.5"/>
    <n v="8"/>
    <s v="Sony Pictures"/>
    <n v="14.2"/>
    <n v="82.09999999999999"/>
  </r>
  <r>
    <n v="220"/>
    <x v="219"/>
    <x v="0"/>
    <x v="4"/>
    <x v="2"/>
    <x v="70"/>
    <x v="202"/>
    <n v="31.3"/>
    <n v="4.5"/>
    <s v="Paramount"/>
    <n v="4.3"/>
    <n v="15.9"/>
  </r>
  <r>
    <n v="221"/>
    <x v="220"/>
    <x v="34"/>
    <x v="3"/>
    <x v="6"/>
    <x v="26"/>
    <x v="203"/>
    <n v="300.4"/>
    <n v="7.5"/>
    <s v="Universal"/>
    <n v="208"/>
    <n v="225.1"/>
  </r>
  <r>
    <n v="222"/>
    <x v="221"/>
    <x v="13"/>
    <x v="4"/>
    <x v="2"/>
    <x v="61"/>
    <x v="204"/>
    <n v="110.9"/>
    <n v="6.9"/>
    <s v="A24"/>
    <n v="50.6"/>
    <n v="83.90000000000001"/>
  </r>
  <r>
    <n v="223"/>
    <x v="222"/>
    <x v="7"/>
    <x v="0"/>
    <x v="3"/>
    <x v="24"/>
    <x v="205"/>
    <n v="117.1"/>
    <n v="8"/>
    <s v="Lionsgate"/>
    <n v="6.1"/>
    <n v="5.5"/>
  </r>
  <r>
    <n v="224"/>
    <x v="223"/>
    <x v="1"/>
    <x v="1"/>
    <x v="2"/>
    <x v="86"/>
    <x v="206"/>
    <n v="236.4"/>
    <n v="6.9"/>
    <s v="20th Century Fox"/>
    <n v="178.4"/>
    <n v="307.6"/>
  </r>
  <r>
    <n v="225"/>
    <x v="224"/>
    <x v="5"/>
    <x v="2"/>
    <x v="0"/>
    <x v="72"/>
    <x v="207"/>
    <n v="349.1"/>
    <n v="7.5"/>
    <s v="CJ Entertainment"/>
    <n v="250.5"/>
    <n v="254.1"/>
  </r>
  <r>
    <n v="226"/>
    <x v="225"/>
    <x v="25"/>
    <x v="6"/>
    <x v="2"/>
    <x v="14"/>
    <x v="208"/>
    <n v="107.6"/>
    <n v="6.1"/>
    <s v="A24"/>
    <n v="82.5"/>
    <n v="328.7"/>
  </r>
  <r>
    <n v="227"/>
    <x v="226"/>
    <x v="33"/>
    <x v="9"/>
    <x v="2"/>
    <x v="26"/>
    <x v="209"/>
    <n v="161"/>
    <n v="7.5"/>
    <s v="Marvel"/>
    <n v="-59.6"/>
    <n v="-27"/>
  </r>
  <r>
    <n v="228"/>
    <x v="227"/>
    <x v="13"/>
    <x v="3"/>
    <x v="6"/>
    <x v="54"/>
    <x v="210"/>
    <n v="71.3"/>
    <n v="8.699999999999999"/>
    <s v="20th Century Fox"/>
    <n v="-15.1"/>
    <n v="-17.5"/>
  </r>
  <r>
    <n v="229"/>
    <x v="228"/>
    <x v="32"/>
    <x v="7"/>
    <x v="2"/>
    <x v="68"/>
    <x v="211"/>
    <n v="839.1"/>
    <n v="7.7"/>
    <s v="Pixar"/>
    <n v="545.6"/>
    <n v="185.9"/>
  </r>
  <r>
    <n v="230"/>
    <x v="229"/>
    <x v="13"/>
    <x v="5"/>
    <x v="2"/>
    <x v="87"/>
    <x v="212"/>
    <n v="48.1"/>
    <n v="7.1"/>
    <s v="Lionsgate"/>
    <n v="35"/>
    <n v="267.2"/>
  </r>
  <r>
    <n v="231"/>
    <x v="230"/>
    <x v="15"/>
    <x v="9"/>
    <x v="1"/>
    <x v="80"/>
    <x v="213"/>
    <n v="15.9"/>
    <n v="7.2"/>
    <s v="Panorama Studios"/>
    <n v="-1"/>
    <n v="-5.9"/>
  </r>
  <r>
    <n v="232"/>
    <x v="231"/>
    <x v="2"/>
    <x v="5"/>
    <x v="2"/>
    <x v="18"/>
    <x v="214"/>
    <n v="79.2"/>
    <n v="6.5"/>
    <s v="Pixar"/>
    <n v="26.1"/>
    <n v="49.2"/>
  </r>
  <r>
    <n v="233"/>
    <x v="232"/>
    <x v="7"/>
    <x v="3"/>
    <x v="0"/>
    <x v="57"/>
    <x v="215"/>
    <n v="45.4"/>
    <n v="8.199999999999999"/>
    <s v="CJ Entertainment"/>
    <n v="11.7"/>
    <n v="34.7"/>
  </r>
  <r>
    <n v="234"/>
    <x v="233"/>
    <x v="1"/>
    <x v="9"/>
    <x v="1"/>
    <x v="38"/>
    <x v="95"/>
    <n v="38.3"/>
    <n v="6.3"/>
    <s v="Mythri Movie Makers"/>
    <n v="21"/>
    <n v="121.4"/>
  </r>
  <r>
    <n v="235"/>
    <x v="234"/>
    <x v="31"/>
    <x v="1"/>
    <x v="2"/>
    <x v="42"/>
    <x v="83"/>
    <n v="84.59999999999999"/>
    <n v="7"/>
    <s v="Marvel"/>
    <n v="59.8"/>
    <n v="241.1"/>
  </r>
  <r>
    <n v="236"/>
    <x v="235"/>
    <x v="9"/>
    <x v="6"/>
    <x v="2"/>
    <x v="79"/>
    <x v="216"/>
    <n v="151.9"/>
    <n v="8.1"/>
    <s v="Universal"/>
    <n v="117.8"/>
    <n v="345.5"/>
  </r>
  <r>
    <n v="237"/>
    <x v="236"/>
    <x v="1"/>
    <x v="6"/>
    <x v="2"/>
    <x v="8"/>
    <x v="34"/>
    <n v="30.1"/>
    <n v="6.6"/>
    <s v="Sony Pictures"/>
    <n v="-6.3"/>
    <n v="-17.3"/>
  </r>
  <r>
    <n v="238"/>
    <x v="237"/>
    <x v="7"/>
    <x v="0"/>
    <x v="0"/>
    <x v="66"/>
    <x v="217"/>
    <n v="344"/>
    <n v="6.7"/>
    <s v="CJ Entertainment"/>
    <n v="263.5"/>
    <n v="327.3"/>
  </r>
  <r>
    <n v="239"/>
    <x v="238"/>
    <x v="19"/>
    <x v="7"/>
    <x v="2"/>
    <x v="6"/>
    <x v="126"/>
    <n v="237.9"/>
    <n v="5.6"/>
    <s v="Pixar"/>
    <n v="195.4"/>
    <n v="459.8"/>
  </r>
  <r>
    <n v="240"/>
    <x v="239"/>
    <x v="2"/>
    <x v="7"/>
    <x v="2"/>
    <x v="27"/>
    <x v="218"/>
    <n v="590.4"/>
    <n v="6.9"/>
    <s v="Pixar"/>
    <n v="466.8"/>
    <n v="377.7"/>
  </r>
  <r>
    <n v="241"/>
    <x v="240"/>
    <x v="18"/>
    <x v="5"/>
    <x v="3"/>
    <x v="69"/>
    <x v="219"/>
    <n v="661.8"/>
    <n v="6.3"/>
    <s v="Warner Bros."/>
    <n v="498.9"/>
    <n v="306.3"/>
  </r>
  <r>
    <n v="242"/>
    <x v="241"/>
    <x v="24"/>
    <x v="3"/>
    <x v="2"/>
    <x v="62"/>
    <x v="220"/>
    <n v="206.4"/>
    <n v="7.6"/>
    <s v="A24"/>
    <n v="158.3"/>
    <n v="329.1"/>
  </r>
  <r>
    <n v="243"/>
    <x v="242"/>
    <x v="4"/>
    <x v="3"/>
    <x v="2"/>
    <x v="88"/>
    <x v="221"/>
    <n v="101.8"/>
    <n v="7.6"/>
    <s v="Lionsgate"/>
    <n v="30.4"/>
    <n v="42.6"/>
  </r>
  <r>
    <n v="244"/>
    <x v="243"/>
    <x v="33"/>
    <x v="0"/>
    <x v="1"/>
    <x v="27"/>
    <x v="222"/>
    <n v="7.7"/>
    <n v="7.4"/>
    <s v="Mythri Movie Makers"/>
    <n v="-15.2"/>
    <n v="-66.40000000000001"/>
  </r>
  <r>
    <n v="245"/>
    <x v="244"/>
    <x v="23"/>
    <x v="9"/>
    <x v="2"/>
    <x v="9"/>
    <x v="223"/>
    <n v="90.7"/>
    <n v="7"/>
    <s v="Universal"/>
    <n v="38.9"/>
    <n v="75.09999999999999"/>
  </r>
  <r>
    <n v="246"/>
    <x v="245"/>
    <x v="22"/>
    <x v="9"/>
    <x v="2"/>
    <x v="16"/>
    <x v="224"/>
    <n v="151.7"/>
    <n v="6.7"/>
    <s v="Sony Pictures"/>
    <n v="41"/>
    <n v="37"/>
  </r>
  <r>
    <n v="247"/>
    <x v="246"/>
    <x v="17"/>
    <x v="5"/>
    <x v="1"/>
    <x v="59"/>
    <x v="225"/>
    <n v="9"/>
    <n v="7.4"/>
    <s v="Hombale Films"/>
    <n v="0.9"/>
    <n v="11.1"/>
  </r>
  <r>
    <n v="248"/>
    <x v="247"/>
    <x v="14"/>
    <x v="0"/>
    <x v="2"/>
    <x v="89"/>
    <x v="226"/>
    <n v="89.3"/>
    <n v="6.6"/>
    <s v="A24"/>
    <n v="-31.8"/>
    <n v="-26.3"/>
  </r>
  <r>
    <n v="249"/>
    <x v="248"/>
    <x v="29"/>
    <x v="5"/>
    <x v="2"/>
    <x v="47"/>
    <x v="171"/>
    <n v="102.5"/>
    <n v="7.6"/>
    <s v="Universal"/>
    <n v="77.5"/>
    <n v="310"/>
  </r>
  <r>
    <n v="250"/>
    <x v="249"/>
    <x v="11"/>
    <x v="9"/>
    <x v="2"/>
    <x v="90"/>
    <x v="227"/>
    <n v="326.6"/>
    <n v="7.9"/>
    <s v="Marvel"/>
    <n v="64.2"/>
    <n v="24.5"/>
  </r>
  <r>
    <n v="251"/>
    <x v="250"/>
    <x v="17"/>
    <x v="4"/>
    <x v="1"/>
    <x v="91"/>
    <x v="127"/>
    <n v="67.2"/>
    <n v="7.7"/>
    <s v="Hombale Films"/>
    <n v="49.7"/>
    <n v="284"/>
  </r>
  <r>
    <n v="252"/>
    <x v="251"/>
    <x v="33"/>
    <x v="8"/>
    <x v="2"/>
    <x v="92"/>
    <x v="228"/>
    <n v="31.6"/>
    <n v="6.7"/>
    <s v="Pixar"/>
    <n v="0.6"/>
    <n v="1.9"/>
  </r>
  <r>
    <n v="253"/>
    <x v="252"/>
    <x v="1"/>
    <x v="6"/>
    <x v="7"/>
    <x v="80"/>
    <x v="229"/>
    <n v="133.5"/>
    <n v="9.1"/>
    <s v="20th Century Fox"/>
    <n v="67"/>
    <n v="100.8"/>
  </r>
  <r>
    <n v="254"/>
    <x v="253"/>
    <x v="19"/>
    <x v="0"/>
    <x v="2"/>
    <x v="70"/>
    <x v="230"/>
    <n v="262.5"/>
    <n v="7.2"/>
    <s v="Pixar"/>
    <n v="-99.8"/>
    <n v="-27.5"/>
  </r>
  <r>
    <n v="255"/>
    <x v="254"/>
    <x v="22"/>
    <x v="3"/>
    <x v="2"/>
    <x v="15"/>
    <x v="231"/>
    <n v="18.6"/>
    <n v="5.7"/>
    <s v="Sony Pictures"/>
    <n v="4.8"/>
    <n v="34.8"/>
  </r>
  <r>
    <n v="256"/>
    <x v="255"/>
    <x v="12"/>
    <x v="1"/>
    <x v="1"/>
    <x v="46"/>
    <x v="232"/>
    <n v="17.1"/>
    <n v="7.8"/>
    <s v="Yash Raj Films"/>
    <n v="8.800000000000001"/>
    <n v="106"/>
  </r>
  <r>
    <n v="257"/>
    <x v="256"/>
    <x v="3"/>
    <x v="7"/>
    <x v="2"/>
    <x v="12"/>
    <x v="178"/>
    <n v="122.4"/>
    <n v="7.1"/>
    <s v="Pixar"/>
    <n v="86.59999999999999"/>
    <n v="241.9"/>
  </r>
  <r>
    <n v="258"/>
    <x v="257"/>
    <x v="5"/>
    <x v="3"/>
    <x v="2"/>
    <x v="93"/>
    <x v="233"/>
    <n v="887.8"/>
    <n v="6.5"/>
    <s v="Warner Bros."/>
    <n v="690.5"/>
    <n v="350"/>
  </r>
  <r>
    <n v="259"/>
    <x v="258"/>
    <x v="33"/>
    <x v="6"/>
    <x v="2"/>
    <x v="2"/>
    <x v="234"/>
    <n v="132.5"/>
    <n v="6.9"/>
    <s v="Lionsgate"/>
    <n v="91.5"/>
    <n v="223.2"/>
  </r>
  <r>
    <n v="260"/>
    <x v="259"/>
    <x v="28"/>
    <x v="9"/>
    <x v="2"/>
    <x v="45"/>
    <x v="145"/>
    <n v="41.4"/>
    <n v="7.2"/>
    <s v="A24"/>
    <n v="-17.5"/>
    <n v="-29.7"/>
  </r>
  <r>
    <n v="261"/>
    <x v="260"/>
    <x v="8"/>
    <x v="5"/>
    <x v="2"/>
    <x v="3"/>
    <x v="235"/>
    <n v="217.3"/>
    <n v="6.1"/>
    <s v="Pixar"/>
    <n v="135.6"/>
    <n v="166"/>
  </r>
  <r>
    <n v="262"/>
    <x v="261"/>
    <x v="3"/>
    <x v="1"/>
    <x v="5"/>
    <x v="42"/>
    <x v="236"/>
    <n v="14"/>
    <n v="7.2"/>
    <s v="Paramount"/>
    <n v="-13.6"/>
    <n v="-49.3"/>
  </r>
  <r>
    <n v="263"/>
    <x v="262"/>
    <x v="33"/>
    <x v="9"/>
    <x v="2"/>
    <x v="70"/>
    <x v="129"/>
    <n v="64.40000000000001"/>
    <n v="6.9"/>
    <s v="Lionsgate"/>
    <n v="43.1"/>
    <n v="202.3"/>
  </r>
  <r>
    <n v="264"/>
    <x v="263"/>
    <x v="18"/>
    <x v="9"/>
    <x v="2"/>
    <x v="73"/>
    <x v="237"/>
    <n v="255.6"/>
    <n v="6.5"/>
    <s v="Pixar"/>
    <n v="117.9"/>
    <n v="85.59999999999999"/>
  </r>
  <r>
    <n v="265"/>
    <x v="264"/>
    <x v="16"/>
    <x v="9"/>
    <x v="2"/>
    <x v="94"/>
    <x v="238"/>
    <n v="88.2"/>
    <n v="8.300000000000001"/>
    <s v="Pixar"/>
    <n v="49.6"/>
    <n v="128.5"/>
  </r>
  <r>
    <n v="266"/>
    <x v="265"/>
    <x v="28"/>
    <x v="9"/>
    <x v="2"/>
    <x v="81"/>
    <x v="239"/>
    <n v="48.4"/>
    <n v="6"/>
    <s v="Marvel"/>
    <n v="-5.4"/>
    <n v="-10"/>
  </r>
  <r>
    <n v="267"/>
    <x v="266"/>
    <x v="26"/>
    <x v="9"/>
    <x v="2"/>
    <x v="34"/>
    <x v="240"/>
    <n v="281.9"/>
    <n v="7"/>
    <s v="Lionsgate"/>
    <n v="96.8"/>
    <n v="52.3"/>
  </r>
  <r>
    <n v="268"/>
    <x v="267"/>
    <x v="25"/>
    <x v="1"/>
    <x v="3"/>
    <x v="38"/>
    <x v="19"/>
    <n v="74.5"/>
    <n v="7.5"/>
    <s v="Warner Bros."/>
    <n v="8.1"/>
    <n v="12.2"/>
  </r>
  <r>
    <n v="269"/>
    <x v="268"/>
    <x v="15"/>
    <x v="3"/>
    <x v="2"/>
    <x v="64"/>
    <x v="241"/>
    <n v="37.2"/>
    <n v="6.1"/>
    <s v="Lionsgate"/>
    <n v="4.1"/>
    <n v="12.4"/>
  </r>
  <r>
    <n v="270"/>
    <x v="269"/>
    <x v="7"/>
    <x v="7"/>
    <x v="6"/>
    <x v="14"/>
    <x v="242"/>
    <n v="50"/>
    <n v="5.8"/>
    <s v="Pixar"/>
    <n v="29.5"/>
    <n v="143.9"/>
  </r>
  <r>
    <n v="271"/>
    <x v="270"/>
    <x v="34"/>
    <x v="2"/>
    <x v="2"/>
    <x v="24"/>
    <x v="243"/>
    <n v="179.9"/>
    <n v="8.1"/>
    <s v="Marvel"/>
    <n v="140.8"/>
    <n v="360.1"/>
  </r>
  <r>
    <n v="272"/>
    <x v="271"/>
    <x v="1"/>
    <x v="9"/>
    <x v="2"/>
    <x v="68"/>
    <x v="244"/>
    <n v="58.5"/>
    <n v="7.2"/>
    <s v="20th Century Fox"/>
    <n v="32.9"/>
    <n v="128.5"/>
  </r>
  <r>
    <n v="273"/>
    <x v="272"/>
    <x v="7"/>
    <x v="3"/>
    <x v="1"/>
    <x v="25"/>
    <x v="245"/>
    <n v="128.9"/>
    <n v="6.7"/>
    <s v="Panorama Studios"/>
    <n v="76.8"/>
    <n v="147.4"/>
  </r>
  <r>
    <n v="274"/>
    <x v="273"/>
    <x v="2"/>
    <x v="7"/>
    <x v="5"/>
    <x v="66"/>
    <x v="246"/>
    <n v="57.3"/>
    <n v="8.1"/>
    <s v="Pixar"/>
    <n v="39"/>
    <n v="213.1"/>
  </r>
  <r>
    <n v="275"/>
    <x v="274"/>
    <x v="1"/>
    <x v="5"/>
    <x v="2"/>
    <x v="73"/>
    <x v="48"/>
    <n v="461.2"/>
    <n v="7.4"/>
    <s v="Paramount"/>
    <n v="336.1"/>
    <n v="268.7"/>
  </r>
  <r>
    <n v="276"/>
    <x v="275"/>
    <x v="9"/>
    <x v="4"/>
    <x v="2"/>
    <x v="14"/>
    <x v="166"/>
    <n v="148.3"/>
    <n v="6.5"/>
    <s v="Universal"/>
    <n v="115.3"/>
    <n v="349.4"/>
  </r>
  <r>
    <n v="277"/>
    <x v="276"/>
    <x v="8"/>
    <x v="1"/>
    <x v="1"/>
    <x v="4"/>
    <x v="247"/>
    <n v="29.5"/>
    <n v="7.6"/>
    <s v="Hombale Films"/>
    <n v="20.2"/>
    <n v="217.2"/>
  </r>
  <r>
    <n v="278"/>
    <x v="277"/>
    <x v="3"/>
    <x v="3"/>
    <x v="2"/>
    <x v="35"/>
    <x v="248"/>
    <n v="337.3"/>
    <n v="4.5"/>
    <s v="Warner Bros."/>
    <n v="235.9"/>
    <n v="232.6"/>
  </r>
  <r>
    <n v="279"/>
    <x v="278"/>
    <x v="30"/>
    <x v="5"/>
    <x v="3"/>
    <x v="40"/>
    <x v="249"/>
    <n v="137.1"/>
    <n v="8.1"/>
    <s v="Disney"/>
    <n v="48.9"/>
    <n v="55.4"/>
  </r>
  <r>
    <n v="280"/>
    <x v="279"/>
    <x v="13"/>
    <x v="5"/>
    <x v="2"/>
    <x v="17"/>
    <x v="250"/>
    <n v="21.9"/>
    <n v="7.9"/>
    <s v="Disney"/>
    <n v="-21.6"/>
    <n v="-49.7"/>
  </r>
  <r>
    <n v="281"/>
    <x v="280"/>
    <x v="26"/>
    <x v="9"/>
    <x v="1"/>
    <x v="3"/>
    <x v="251"/>
    <n v="39.9"/>
    <n v="7.6"/>
    <s v="Panorama Studios"/>
    <n v="18.8"/>
    <n v="89.09999999999999"/>
  </r>
  <r>
    <n v="282"/>
    <x v="281"/>
    <x v="19"/>
    <x v="3"/>
    <x v="2"/>
    <x v="58"/>
    <x v="252"/>
    <n v="133.3"/>
    <n v="6.4"/>
    <s v="Marvel"/>
    <n v="75.8"/>
    <n v="131.8"/>
  </r>
  <r>
    <n v="283"/>
    <x v="282"/>
    <x v="5"/>
    <x v="9"/>
    <x v="2"/>
    <x v="8"/>
    <x v="253"/>
    <n v="94.90000000000001"/>
    <n v="6.7"/>
    <s v="Marvel"/>
    <n v="-22.9"/>
    <n v="-19.4"/>
  </r>
  <r>
    <n v="284"/>
    <x v="283"/>
    <x v="19"/>
    <x v="3"/>
    <x v="2"/>
    <x v="18"/>
    <x v="48"/>
    <n v="589.9"/>
    <n v="6.5"/>
    <s v="Marvel"/>
    <n v="464.8"/>
    <n v="371.5"/>
  </r>
  <r>
    <n v="285"/>
    <x v="284"/>
    <x v="23"/>
    <x v="3"/>
    <x v="6"/>
    <x v="11"/>
    <x v="254"/>
    <n v="90.5"/>
    <n v="7.6"/>
    <s v="Pixar"/>
    <n v="67.5"/>
    <n v="293.5"/>
  </r>
  <r>
    <n v="286"/>
    <x v="285"/>
    <x v="9"/>
    <x v="4"/>
    <x v="7"/>
    <x v="23"/>
    <x v="255"/>
    <n v="120.4"/>
    <n v="7.8"/>
    <s v="Universal"/>
    <n v="92"/>
    <n v="323.9"/>
  </r>
  <r>
    <n v="287"/>
    <x v="286"/>
    <x v="13"/>
    <x v="9"/>
    <x v="1"/>
    <x v="95"/>
    <x v="256"/>
    <n v="35.4"/>
    <n v="6.5"/>
    <s v="Yash Raj Films"/>
    <n v="12"/>
    <n v="51.3"/>
  </r>
  <r>
    <n v="288"/>
    <x v="287"/>
    <x v="16"/>
    <x v="6"/>
    <x v="2"/>
    <x v="11"/>
    <x v="257"/>
    <n v="63.7"/>
    <n v="7.1"/>
    <s v="Warner Bros."/>
    <n v="23.1"/>
    <n v="56.9"/>
  </r>
  <r>
    <n v="289"/>
    <x v="288"/>
    <x v="14"/>
    <x v="3"/>
    <x v="1"/>
    <x v="27"/>
    <x v="258"/>
    <n v="17.9"/>
    <n v="7.9"/>
    <s v="Panorama Studios"/>
    <n v="12.5"/>
    <n v="231.5"/>
  </r>
  <r>
    <n v="290"/>
    <x v="289"/>
    <x v="12"/>
    <x v="9"/>
    <x v="2"/>
    <x v="2"/>
    <x v="259"/>
    <n v="103.4"/>
    <n v="8.9"/>
    <s v="A24"/>
    <n v="41.5"/>
    <n v="67"/>
  </r>
  <r>
    <n v="291"/>
    <x v="290"/>
    <x v="23"/>
    <x v="7"/>
    <x v="1"/>
    <x v="91"/>
    <x v="17"/>
    <n v="138.7"/>
    <n v="6.2"/>
    <s v="Panorama Studios"/>
    <n v="108.4"/>
    <n v="357.8"/>
  </r>
  <r>
    <n v="292"/>
    <x v="291"/>
    <x v="1"/>
    <x v="4"/>
    <x v="6"/>
    <x v="93"/>
    <x v="260"/>
    <n v="53"/>
    <n v="7.1"/>
    <s v="Paramount"/>
    <n v="42.5"/>
    <n v="404.8"/>
  </r>
  <r>
    <n v="293"/>
    <x v="292"/>
    <x v="7"/>
    <x v="4"/>
    <x v="2"/>
    <x v="24"/>
    <x v="261"/>
    <n v="263.4"/>
    <n v="8.199999999999999"/>
    <s v="Disney"/>
    <n v="205.2"/>
    <n v="352.6"/>
  </r>
  <r>
    <n v="294"/>
    <x v="293"/>
    <x v="30"/>
    <x v="6"/>
    <x v="2"/>
    <x v="79"/>
    <x v="262"/>
    <n v="187.6"/>
    <n v="7"/>
    <s v="Sony Pictures"/>
    <n v="45.9"/>
    <n v="32.4"/>
  </r>
  <r>
    <n v="295"/>
    <x v="294"/>
    <x v="4"/>
    <x v="1"/>
    <x v="2"/>
    <x v="2"/>
    <x v="36"/>
    <n v="139.5"/>
    <n v="6.4"/>
    <s v="A24"/>
    <n v="89.09999999999999"/>
    <n v="176.8"/>
  </r>
  <r>
    <n v="296"/>
    <x v="295"/>
    <x v="7"/>
    <x v="6"/>
    <x v="4"/>
    <x v="2"/>
    <x v="96"/>
    <n v="119.6"/>
    <n v="7.8"/>
    <s v="Paramount"/>
    <n v="90.7"/>
    <n v="313.8"/>
  </r>
  <r>
    <n v="297"/>
    <x v="296"/>
    <x v="19"/>
    <x v="3"/>
    <x v="2"/>
    <x v="55"/>
    <x v="263"/>
    <n v="88.59999999999999"/>
    <n v="7.7"/>
    <s v="Lionsgate"/>
    <n v="35.7"/>
    <n v="67.5"/>
  </r>
  <r>
    <n v="298"/>
    <x v="297"/>
    <x v="15"/>
    <x v="6"/>
    <x v="2"/>
    <x v="8"/>
    <x v="264"/>
    <n v="86.59999999999999"/>
    <n v="7.1"/>
    <s v="Warner Bros."/>
    <n v="-3.7"/>
    <n v="-4.1"/>
  </r>
  <r>
    <n v="299"/>
    <x v="298"/>
    <x v="11"/>
    <x v="9"/>
    <x v="2"/>
    <x v="35"/>
    <x v="265"/>
    <n v="321.2"/>
    <n v="8"/>
    <s v="20th Century Fox"/>
    <n v="113.5"/>
    <n v="54.6"/>
  </r>
  <r>
    <n v="300"/>
    <x v="299"/>
    <x v="31"/>
    <x v="7"/>
    <x v="1"/>
    <x v="63"/>
    <x v="266"/>
    <n v="4.6"/>
    <n v="7.8"/>
    <s v="Hombale Films"/>
    <n v="0.9"/>
    <n v="24.3"/>
  </r>
  <r>
    <n v="301"/>
    <x v="300"/>
    <x v="34"/>
    <x v="8"/>
    <x v="0"/>
    <x v="96"/>
    <x v="267"/>
    <n v="121.7"/>
    <n v="7.1"/>
    <s v="CJ Entertainment"/>
    <n v="61.7"/>
    <n v="102.8"/>
  </r>
  <r>
    <n v="302"/>
    <x v="301"/>
    <x v="8"/>
    <x v="1"/>
    <x v="1"/>
    <x v="7"/>
    <x v="268"/>
    <n v="24.1"/>
    <n v="6.8"/>
    <s v="Mythri Movie Makers"/>
    <n v="15"/>
    <n v="164.8"/>
  </r>
  <r>
    <n v="303"/>
    <x v="302"/>
    <x v="27"/>
    <x v="9"/>
    <x v="2"/>
    <x v="59"/>
    <x v="269"/>
    <n v="65.7"/>
    <n v="8.1"/>
    <s v="Paramount"/>
    <n v="-2.3"/>
    <n v="-3.4"/>
  </r>
  <r>
    <n v="304"/>
    <x v="303"/>
    <x v="13"/>
    <x v="6"/>
    <x v="2"/>
    <x v="72"/>
    <x v="270"/>
    <n v="632.4"/>
    <n v="8.1"/>
    <s v="Pixar"/>
    <n v="482.5"/>
    <n v="321.9"/>
  </r>
  <r>
    <n v="305"/>
    <x v="304"/>
    <x v="20"/>
    <x v="6"/>
    <x v="2"/>
    <x v="97"/>
    <x v="271"/>
    <n v="133.9"/>
    <n v="7.5"/>
    <s v="Sony Pictures"/>
    <n v="96"/>
    <n v="253.3"/>
  </r>
  <r>
    <n v="306"/>
    <x v="305"/>
    <x v="25"/>
    <x v="1"/>
    <x v="3"/>
    <x v="57"/>
    <x v="272"/>
    <n v="184.5"/>
    <n v="5.9"/>
    <s v="Lionsgate"/>
    <n v="127.3"/>
    <n v="222.6"/>
  </r>
  <r>
    <n v="307"/>
    <x v="306"/>
    <x v="32"/>
    <x v="4"/>
    <x v="2"/>
    <x v="71"/>
    <x v="273"/>
    <n v="402.1"/>
    <n v="7.4"/>
    <s v="Warner Bros."/>
    <n v="300.3"/>
    <n v="295"/>
  </r>
  <r>
    <n v="308"/>
    <x v="307"/>
    <x v="15"/>
    <x v="1"/>
    <x v="2"/>
    <x v="39"/>
    <x v="274"/>
    <n v="240.8"/>
    <n v="5.9"/>
    <s v="Paramount"/>
    <n v="-55.9"/>
    <n v="-18.8"/>
  </r>
  <r>
    <n v="309"/>
    <x v="308"/>
    <x v="18"/>
    <x v="2"/>
    <x v="2"/>
    <x v="39"/>
    <x v="275"/>
    <n v="681.7"/>
    <n v="7.6"/>
    <s v="Disney"/>
    <n v="507.2"/>
    <n v="290.7"/>
  </r>
  <r>
    <n v="310"/>
    <x v="309"/>
    <x v="16"/>
    <x v="5"/>
    <x v="2"/>
    <x v="57"/>
    <x v="276"/>
    <n v="49.1"/>
    <n v="8"/>
    <s v="A24"/>
    <n v="11.5"/>
    <n v="30.6"/>
  </r>
  <r>
    <n v="311"/>
    <x v="310"/>
    <x v="14"/>
    <x v="0"/>
    <x v="3"/>
    <x v="58"/>
    <x v="277"/>
    <n v="186.9"/>
    <n v="8.300000000000001"/>
    <s v="Pixar"/>
    <n v="89"/>
    <n v="90.90000000000001"/>
  </r>
  <r>
    <n v="312"/>
    <x v="311"/>
    <x v="1"/>
    <x v="0"/>
    <x v="2"/>
    <x v="7"/>
    <x v="278"/>
    <n v="263.5"/>
    <n v="7.2"/>
    <s v="Marvel"/>
    <n v="79.5"/>
    <n v="43.2"/>
  </r>
  <r>
    <n v="313"/>
    <x v="312"/>
    <x v="23"/>
    <x v="3"/>
    <x v="2"/>
    <x v="98"/>
    <x v="279"/>
    <n v="57.7"/>
    <n v="6.4"/>
    <s v="Lionsgate"/>
    <n v="36"/>
    <n v="165.9"/>
  </r>
  <r>
    <n v="314"/>
    <x v="313"/>
    <x v="11"/>
    <x v="8"/>
    <x v="3"/>
    <x v="0"/>
    <x v="280"/>
    <n v="90.59999999999999"/>
    <n v="7.8"/>
    <s v="Warner Bros."/>
    <n v="51.7"/>
    <n v="132.9"/>
  </r>
  <r>
    <n v="315"/>
    <x v="314"/>
    <x v="23"/>
    <x v="9"/>
    <x v="0"/>
    <x v="76"/>
    <x v="281"/>
    <n v="38.1"/>
    <n v="6.7"/>
    <s v="CJ Entertainment"/>
    <n v="-28.5"/>
    <n v="-42.8"/>
  </r>
  <r>
    <n v="316"/>
    <x v="315"/>
    <x v="0"/>
    <x v="4"/>
    <x v="4"/>
    <x v="32"/>
    <x v="282"/>
    <n v="158"/>
    <n v="6.7"/>
    <s v="Disney"/>
    <n v="27.8"/>
    <n v="21.4"/>
  </r>
  <r>
    <n v="317"/>
    <x v="316"/>
    <x v="31"/>
    <x v="8"/>
    <x v="4"/>
    <x v="37"/>
    <x v="283"/>
    <n v="99.2"/>
    <n v="7.8"/>
    <s v="Universal"/>
    <n v="22.9"/>
    <n v="30"/>
  </r>
  <r>
    <n v="318"/>
    <x v="317"/>
    <x v="2"/>
    <x v="6"/>
    <x v="2"/>
    <x v="64"/>
    <x v="76"/>
    <n v="138.1"/>
    <n v="7.7"/>
    <s v="Lionsgate"/>
    <n v="72.59999999999999"/>
    <n v="110.8"/>
  </r>
  <r>
    <n v="319"/>
    <x v="318"/>
    <x v="13"/>
    <x v="7"/>
    <x v="2"/>
    <x v="31"/>
    <x v="284"/>
    <n v="484.9"/>
    <n v="5.5"/>
    <s v="Sony Pictures"/>
    <n v="371.6"/>
    <n v="328"/>
  </r>
  <r>
    <n v="320"/>
    <x v="319"/>
    <x v="4"/>
    <x v="8"/>
    <x v="2"/>
    <x v="48"/>
    <x v="285"/>
    <n v="68.90000000000001"/>
    <n v="4.8"/>
    <s v="Paramount"/>
    <n v="-40.2"/>
    <n v="-36.8"/>
  </r>
  <r>
    <n v="321"/>
    <x v="320"/>
    <x v="27"/>
    <x v="0"/>
    <x v="2"/>
    <x v="44"/>
    <x v="286"/>
    <n v="16.9"/>
    <n v="7.7"/>
    <s v="Paramount"/>
    <n v="-20.2"/>
    <n v="-54.4"/>
  </r>
  <r>
    <n v="322"/>
    <x v="321"/>
    <x v="25"/>
    <x v="5"/>
    <x v="4"/>
    <x v="99"/>
    <x v="287"/>
    <n v="31.3"/>
    <n v="6.3"/>
    <s v="Pixar"/>
    <n v="-3"/>
    <n v="-8.699999999999999"/>
  </r>
  <r>
    <n v="323"/>
    <x v="322"/>
    <x v="28"/>
    <x v="2"/>
    <x v="1"/>
    <x v="79"/>
    <x v="42"/>
    <n v="10.3"/>
    <n v="7.2"/>
    <s v="Panorama Studios"/>
    <n v="4.8"/>
    <n v="87.3"/>
  </r>
  <r>
    <n v="324"/>
    <x v="323"/>
    <x v="14"/>
    <x v="8"/>
    <x v="2"/>
    <x v="100"/>
    <x v="288"/>
    <n v="237.1"/>
    <n v="7"/>
    <s v="Pixar"/>
    <n v="144.3"/>
    <n v="155.5"/>
  </r>
  <r>
    <n v="325"/>
    <x v="324"/>
    <x v="1"/>
    <x v="1"/>
    <x v="5"/>
    <x v="41"/>
    <x v="289"/>
    <n v="112.6"/>
    <n v="6.9"/>
    <s v="Universal"/>
    <n v="21.6"/>
    <n v="23.7"/>
  </r>
  <r>
    <n v="326"/>
    <x v="325"/>
    <x v="14"/>
    <x v="3"/>
    <x v="2"/>
    <x v="7"/>
    <x v="290"/>
    <n v="121.1"/>
    <n v="6"/>
    <s v="Pixar"/>
    <n v="96.59999999999999"/>
    <n v="394.3"/>
  </r>
  <r>
    <n v="327"/>
    <x v="326"/>
    <x v="17"/>
    <x v="3"/>
    <x v="4"/>
    <x v="67"/>
    <x v="291"/>
    <n v="250.7"/>
    <n v="4.9"/>
    <s v="20th Century Fox"/>
    <n v="156.6"/>
    <n v="166.4"/>
  </r>
  <r>
    <n v="328"/>
    <x v="327"/>
    <x v="34"/>
    <x v="9"/>
    <x v="2"/>
    <x v="2"/>
    <x v="292"/>
    <n v="188.3"/>
    <n v="6.8"/>
    <s v="Universal"/>
    <n v="109.5"/>
    <n v="139"/>
  </r>
  <r>
    <n v="329"/>
    <x v="328"/>
    <x v="16"/>
    <x v="4"/>
    <x v="2"/>
    <x v="48"/>
    <x v="293"/>
    <n v="859.6"/>
    <n v="5.5"/>
    <s v="Disney"/>
    <n v="600.8"/>
    <n v="232.1"/>
  </r>
  <r>
    <n v="330"/>
    <x v="329"/>
    <x v="24"/>
    <x v="7"/>
    <x v="2"/>
    <x v="73"/>
    <x v="294"/>
    <n v="461.7"/>
    <n v="6.8"/>
    <s v="Sony Pictures"/>
    <n v="372.6"/>
    <n v="418.2"/>
  </r>
  <r>
    <n v="331"/>
    <x v="330"/>
    <x v="30"/>
    <x v="9"/>
    <x v="2"/>
    <x v="42"/>
    <x v="295"/>
    <n v="120.7"/>
    <n v="7.5"/>
    <s v="A24"/>
    <n v="-58.6"/>
    <n v="-32.7"/>
  </r>
  <r>
    <n v="332"/>
    <x v="331"/>
    <x v="24"/>
    <x v="2"/>
    <x v="1"/>
    <x v="70"/>
    <x v="296"/>
    <n v="9"/>
    <n v="6.7"/>
    <s v="Aamir Khan Productions"/>
    <n v="4.2"/>
    <n v="87.5"/>
  </r>
  <r>
    <n v="333"/>
    <x v="332"/>
    <x v="32"/>
    <x v="9"/>
    <x v="1"/>
    <x v="73"/>
    <x v="297"/>
    <n v="11.4"/>
    <n v="6.6"/>
    <s v="Yash Raj Films"/>
    <n v="1.3"/>
    <n v="12.9"/>
  </r>
  <r>
    <n v="334"/>
    <x v="333"/>
    <x v="11"/>
    <x v="9"/>
    <x v="3"/>
    <x v="7"/>
    <x v="298"/>
    <n v="47.2"/>
    <n v="7.6"/>
    <s v="20th Century Fox"/>
    <n v="20.5"/>
    <n v="76.8"/>
  </r>
  <r>
    <n v="335"/>
    <x v="334"/>
    <x v="0"/>
    <x v="3"/>
    <x v="2"/>
    <x v="14"/>
    <x v="299"/>
    <n v="262.5"/>
    <n v="7.2"/>
    <s v="Marvel"/>
    <n v="209.3"/>
    <n v="393.4"/>
  </r>
  <r>
    <n v="336"/>
    <x v="335"/>
    <x v="2"/>
    <x v="9"/>
    <x v="6"/>
    <x v="9"/>
    <x v="300"/>
    <n v="36.3"/>
    <n v="5.6"/>
    <s v="Warner Bros."/>
    <n v="8"/>
    <n v="28.3"/>
  </r>
  <r>
    <n v="337"/>
    <x v="336"/>
    <x v="27"/>
    <x v="1"/>
    <x v="0"/>
    <x v="39"/>
    <x v="301"/>
    <n v="306.1"/>
    <n v="7"/>
    <s v="CJ Entertainment"/>
    <n v="216"/>
    <n v="239.7"/>
  </r>
  <r>
    <n v="338"/>
    <x v="337"/>
    <x v="20"/>
    <x v="1"/>
    <x v="3"/>
    <x v="95"/>
    <x v="302"/>
    <n v="471.8"/>
    <n v="6.1"/>
    <s v="Paramount"/>
    <n v="352.3"/>
    <n v="294.8"/>
  </r>
  <r>
    <n v="339"/>
    <x v="338"/>
    <x v="32"/>
    <x v="9"/>
    <x v="2"/>
    <x v="15"/>
    <x v="303"/>
    <n v="184.1"/>
    <n v="8"/>
    <s v="Marvel"/>
    <n v="104.1"/>
    <n v="130.1"/>
  </r>
  <r>
    <n v="340"/>
    <x v="339"/>
    <x v="2"/>
    <x v="1"/>
    <x v="2"/>
    <x v="4"/>
    <x v="304"/>
    <n v="264.2"/>
    <n v="5.6"/>
    <s v="20th Century Fox"/>
    <n v="213.3"/>
    <n v="419.1"/>
  </r>
  <r>
    <n v="341"/>
    <x v="340"/>
    <x v="28"/>
    <x v="6"/>
    <x v="3"/>
    <x v="23"/>
    <x v="3"/>
    <n v="203.6"/>
    <n v="7"/>
    <s v="Sony Pictures"/>
    <n v="145.1"/>
    <n v="248"/>
  </r>
  <r>
    <n v="342"/>
    <x v="341"/>
    <x v="8"/>
    <x v="7"/>
    <x v="2"/>
    <x v="3"/>
    <x v="305"/>
    <n v="265.7"/>
    <n v="7"/>
    <s v="Universal"/>
    <n v="199.9"/>
    <n v="303.8"/>
  </r>
  <r>
    <n v="343"/>
    <x v="342"/>
    <x v="20"/>
    <x v="0"/>
    <x v="7"/>
    <x v="38"/>
    <x v="306"/>
    <n v="47.6"/>
    <n v="7"/>
    <s v="Warner Bros."/>
    <n v="13.8"/>
    <n v="40.8"/>
  </r>
  <r>
    <n v="344"/>
    <x v="343"/>
    <x v="17"/>
    <x v="0"/>
    <x v="3"/>
    <x v="38"/>
    <x v="307"/>
    <n v="321"/>
    <n v="7.5"/>
    <s v="20th Century Fox"/>
    <n v="232.7"/>
    <n v="263.5"/>
  </r>
  <r>
    <n v="345"/>
    <x v="344"/>
    <x v="12"/>
    <x v="5"/>
    <x v="2"/>
    <x v="22"/>
    <x v="308"/>
    <n v="300.3"/>
    <n v="6.9"/>
    <s v="Sony Pictures"/>
    <n v="173.8"/>
    <n v="137.4"/>
  </r>
  <r>
    <n v="346"/>
    <x v="345"/>
    <x v="3"/>
    <x v="0"/>
    <x v="1"/>
    <x v="26"/>
    <x v="51"/>
    <n v="50"/>
    <n v="6.9"/>
    <s v="Aamir Khan Productions"/>
    <n v="28"/>
    <n v="127.3"/>
  </r>
  <r>
    <n v="347"/>
    <x v="346"/>
    <x v="1"/>
    <x v="9"/>
    <x v="3"/>
    <x v="98"/>
    <x v="309"/>
    <n v="56.6"/>
    <n v="6.7"/>
    <s v="Lionsgate"/>
    <n v="-5.9"/>
    <n v="-9.4"/>
  </r>
  <r>
    <n v="348"/>
    <x v="347"/>
    <x v="10"/>
    <x v="5"/>
    <x v="1"/>
    <x v="29"/>
    <x v="310"/>
    <n v="7.7"/>
    <n v="7.1"/>
    <s v="Panorama Studios"/>
    <n v="-0.7"/>
    <n v="-8.300000000000001"/>
  </r>
  <r>
    <n v="349"/>
    <x v="348"/>
    <x v="26"/>
    <x v="5"/>
    <x v="2"/>
    <x v="6"/>
    <x v="311"/>
    <n v="49.8"/>
    <n v="8.4"/>
    <s v="Marvel"/>
    <n v="-7.9"/>
    <n v="-13.7"/>
  </r>
  <r>
    <n v="350"/>
    <x v="349"/>
    <x v="2"/>
    <x v="6"/>
    <x v="7"/>
    <x v="35"/>
    <x v="312"/>
    <n v="86.40000000000001"/>
    <n v="6.5"/>
    <s v="Disney"/>
    <n v="35.7"/>
    <n v="70.40000000000001"/>
  </r>
  <r>
    <n v="351"/>
    <x v="350"/>
    <x v="23"/>
    <x v="1"/>
    <x v="2"/>
    <x v="53"/>
    <x v="313"/>
    <n v="348.2"/>
    <n v="6.7"/>
    <s v="Paramount"/>
    <n v="275.2"/>
    <n v="377"/>
  </r>
  <r>
    <n v="352"/>
    <x v="351"/>
    <x v="9"/>
    <x v="5"/>
    <x v="1"/>
    <x v="52"/>
    <x v="297"/>
    <n v="18.9"/>
    <n v="6.3"/>
    <s v="Mythri Movie Makers"/>
    <n v="8.800000000000001"/>
    <n v="87.09999999999999"/>
  </r>
  <r>
    <n v="353"/>
    <x v="352"/>
    <x v="7"/>
    <x v="9"/>
    <x v="2"/>
    <x v="30"/>
    <x v="314"/>
    <n v="294.7"/>
    <n v="6.7"/>
    <s v="Paramount"/>
    <n v="201.3"/>
    <n v="215.5"/>
  </r>
  <r>
    <n v="354"/>
    <x v="353"/>
    <x v="10"/>
    <x v="9"/>
    <x v="2"/>
    <x v="36"/>
    <x v="207"/>
    <n v="115.7"/>
    <n v="6.3"/>
    <s v="20th Century Fox"/>
    <n v="17.1"/>
    <n v="17.3"/>
  </r>
  <r>
    <n v="355"/>
    <x v="354"/>
    <x v="4"/>
    <x v="9"/>
    <x v="4"/>
    <x v="73"/>
    <x v="315"/>
    <n v="288.6"/>
    <n v="6.2"/>
    <s v="Sony Pictures"/>
    <n v="154.7"/>
    <n v="115.5"/>
  </r>
  <r>
    <n v="356"/>
    <x v="355"/>
    <x v="9"/>
    <x v="8"/>
    <x v="2"/>
    <x v="84"/>
    <x v="316"/>
    <n v="127"/>
    <n v="8.800000000000001"/>
    <s v="Lionsgate"/>
    <n v="-23.4"/>
    <n v="-15.6"/>
  </r>
  <r>
    <n v="357"/>
    <x v="356"/>
    <x v="2"/>
    <x v="9"/>
    <x v="2"/>
    <x v="23"/>
    <x v="317"/>
    <n v="72.8"/>
    <n v="7.3"/>
    <s v="Sony Pictures"/>
    <n v="46.9"/>
    <n v="181.1"/>
  </r>
  <r>
    <n v="358"/>
    <x v="357"/>
    <x v="3"/>
    <x v="9"/>
    <x v="2"/>
    <x v="42"/>
    <x v="152"/>
    <n v="97.09999999999999"/>
    <n v="8.6"/>
    <s v="Disney"/>
    <n v="62.7"/>
    <n v="182.3"/>
  </r>
  <r>
    <n v="359"/>
    <x v="358"/>
    <x v="0"/>
    <x v="4"/>
    <x v="2"/>
    <x v="79"/>
    <x v="318"/>
    <n v="370.8"/>
    <n v="7.1"/>
    <s v="Sony Pictures"/>
    <n v="303"/>
    <n v="446.9"/>
  </r>
  <r>
    <n v="360"/>
    <x v="359"/>
    <x v="0"/>
    <x v="4"/>
    <x v="1"/>
    <x v="101"/>
    <x v="319"/>
    <n v="26.2"/>
    <n v="6.9"/>
    <s v="Panorama Studios"/>
    <n v="3.4"/>
    <n v="14.9"/>
  </r>
  <r>
    <n v="361"/>
    <x v="360"/>
    <x v="26"/>
    <x v="3"/>
    <x v="1"/>
    <x v="30"/>
    <x v="297"/>
    <n v="11.1"/>
    <n v="7.7"/>
    <s v="Panorama Studios"/>
    <n v="1"/>
    <n v="9.9"/>
  </r>
  <r>
    <n v="362"/>
    <x v="361"/>
    <x v="2"/>
    <x v="6"/>
    <x v="1"/>
    <x v="62"/>
    <x v="320"/>
    <n v="6.9"/>
    <n v="6.9"/>
    <s v="Hombale Films"/>
    <n v="4.4"/>
    <n v="176"/>
  </r>
  <r>
    <n v="363"/>
    <x v="362"/>
    <x v="29"/>
    <x v="1"/>
    <x v="1"/>
    <x v="14"/>
    <x v="78"/>
    <n v="28.2"/>
    <n v="5.9"/>
    <s v="Yash Raj Films"/>
    <n v="17.9"/>
    <n v="173.8"/>
  </r>
  <r>
    <n v="364"/>
    <x v="363"/>
    <x v="28"/>
    <x v="7"/>
    <x v="2"/>
    <x v="69"/>
    <x v="321"/>
    <n v="289.6"/>
    <n v="6.5"/>
    <s v="Pixar"/>
    <n v="233.4"/>
    <n v="415.3"/>
  </r>
  <r>
    <n v="365"/>
    <x v="364"/>
    <x v="8"/>
    <x v="0"/>
    <x v="1"/>
    <x v="26"/>
    <x v="31"/>
    <n v="7"/>
    <n v="6.9"/>
    <s v="Yash Raj Films"/>
    <n v="2.1"/>
    <n v="42.9"/>
  </r>
  <r>
    <n v="366"/>
    <x v="365"/>
    <x v="5"/>
    <x v="6"/>
    <x v="1"/>
    <x v="26"/>
    <x v="322"/>
    <n v="22.4"/>
    <n v="7.4"/>
    <s v="Yash Raj Films"/>
    <n v="7.2"/>
    <n v="47.4"/>
  </r>
  <r>
    <n v="367"/>
    <x v="366"/>
    <x v="30"/>
    <x v="5"/>
    <x v="1"/>
    <x v="81"/>
    <x v="199"/>
    <n v="87.09999999999999"/>
    <n v="5.2"/>
    <s v="Hombale Films"/>
    <n v="40.1"/>
    <n v="85.3"/>
  </r>
  <r>
    <n v="368"/>
    <x v="367"/>
    <x v="9"/>
    <x v="1"/>
    <x v="2"/>
    <x v="48"/>
    <x v="323"/>
    <n v="253.6"/>
    <n v="6.3"/>
    <s v="Paramount"/>
    <n v="146.3"/>
    <n v="136.3"/>
  </r>
  <r>
    <n v="369"/>
    <x v="368"/>
    <x v="2"/>
    <x v="0"/>
    <x v="6"/>
    <x v="66"/>
    <x v="324"/>
    <n v="996.4"/>
    <n v="7.2"/>
    <s v="20th Century Fox"/>
    <n v="707.3"/>
    <n v="244.7"/>
  </r>
  <r>
    <n v="370"/>
    <x v="369"/>
    <x v="33"/>
    <x v="4"/>
    <x v="1"/>
    <x v="4"/>
    <x v="26"/>
    <n v="60.7"/>
    <n v="6"/>
    <s v="Yash Raj Films"/>
    <n v="44.6"/>
    <n v="277"/>
  </r>
  <r>
    <n v="371"/>
    <x v="370"/>
    <x v="11"/>
    <x v="8"/>
    <x v="2"/>
    <x v="65"/>
    <x v="117"/>
    <n v="150"/>
    <n v="7.6"/>
    <s v="Warner Bros."/>
    <n v="72.2"/>
    <n v="92.8"/>
  </r>
  <r>
    <n v="372"/>
    <x v="371"/>
    <x v="17"/>
    <x v="8"/>
    <x v="1"/>
    <x v="41"/>
    <x v="325"/>
    <n v="11.2"/>
    <n v="8.300000000000001"/>
    <s v="Panorama Studios"/>
    <n v="0.4"/>
    <n v="3.7"/>
  </r>
  <r>
    <n v="373"/>
    <x v="372"/>
    <x v="23"/>
    <x v="1"/>
    <x v="2"/>
    <x v="18"/>
    <x v="326"/>
    <n v="264.2"/>
    <n v="7.8"/>
    <s v="20th Century Fox"/>
    <n v="167.6"/>
    <n v="173.5"/>
  </r>
  <r>
    <n v="374"/>
    <x v="373"/>
    <x v="6"/>
    <x v="4"/>
    <x v="2"/>
    <x v="3"/>
    <x v="327"/>
    <n v="55.5"/>
    <n v="5.7"/>
    <s v="Sony Pictures"/>
    <n v="-29"/>
    <n v="-34.3"/>
  </r>
  <r>
    <n v="375"/>
    <x v="374"/>
    <x v="32"/>
    <x v="9"/>
    <x v="2"/>
    <x v="55"/>
    <x v="328"/>
    <n v="187.3"/>
    <n v="7.4"/>
    <s v="A24"/>
    <n v="135.1"/>
    <n v="258.8"/>
  </r>
  <r>
    <n v="376"/>
    <x v="375"/>
    <x v="5"/>
    <x v="7"/>
    <x v="5"/>
    <x v="48"/>
    <x v="329"/>
    <n v="49.4"/>
    <n v="8"/>
    <s v="Sony Pictures"/>
    <n v="-52.7"/>
    <n v="-51.6"/>
  </r>
  <r>
    <n v="377"/>
    <x v="376"/>
    <x v="23"/>
    <x v="0"/>
    <x v="2"/>
    <x v="12"/>
    <x v="330"/>
    <n v="74.59999999999999"/>
    <n v="6.9"/>
    <s v="Warner Bros."/>
    <n v="-73.7"/>
    <n v="-49.7"/>
  </r>
  <r>
    <n v="378"/>
    <x v="377"/>
    <x v="10"/>
    <x v="3"/>
    <x v="7"/>
    <x v="17"/>
    <x v="331"/>
    <n v="263.8"/>
    <n v="8.1"/>
    <s v="20th Century Fox"/>
    <n v="176.9"/>
    <n v="203.6"/>
  </r>
  <r>
    <n v="379"/>
    <x v="378"/>
    <x v="24"/>
    <x v="9"/>
    <x v="2"/>
    <x v="2"/>
    <x v="90"/>
    <n v="187.6"/>
    <n v="8.699999999999999"/>
    <s v="Disney"/>
    <n v="121.4"/>
    <n v="183.4"/>
  </r>
  <r>
    <n v="380"/>
    <x v="379"/>
    <x v="22"/>
    <x v="0"/>
    <x v="3"/>
    <x v="24"/>
    <x v="123"/>
    <n v="108.6"/>
    <n v="5.2"/>
    <s v="Marvel"/>
    <n v="23"/>
    <n v="26.9"/>
  </r>
  <r>
    <n v="381"/>
    <x v="380"/>
    <x v="1"/>
    <x v="2"/>
    <x v="7"/>
    <x v="61"/>
    <x v="332"/>
    <n v="192.6"/>
    <n v="8.199999999999999"/>
    <s v="Sony Pictures"/>
    <n v="121.3"/>
    <n v="170.1"/>
  </r>
  <r>
    <n v="382"/>
    <x v="381"/>
    <x v="18"/>
    <x v="3"/>
    <x v="6"/>
    <x v="4"/>
    <x v="15"/>
    <n v="28.4"/>
    <n v="7.9"/>
    <s v="Pixar"/>
    <n v="4.1"/>
    <n v="16.9"/>
  </r>
  <r>
    <n v="383"/>
    <x v="382"/>
    <x v="31"/>
    <x v="1"/>
    <x v="2"/>
    <x v="78"/>
    <x v="333"/>
    <n v="200.3"/>
    <n v="7.6"/>
    <s v="Sony Pictures"/>
    <n v="156.7"/>
    <n v="359.4"/>
  </r>
  <r>
    <n v="384"/>
    <x v="383"/>
    <x v="8"/>
    <x v="7"/>
    <x v="5"/>
    <x v="60"/>
    <x v="334"/>
    <n v="13.1"/>
    <n v="6.8"/>
    <s v="Sony Pictures"/>
    <n v="3.4"/>
    <n v="35.1"/>
  </r>
  <r>
    <n v="385"/>
    <x v="384"/>
    <x v="19"/>
    <x v="8"/>
    <x v="5"/>
    <x v="21"/>
    <x v="335"/>
    <n v="90.5"/>
    <n v="7.3"/>
    <s v="Sony Pictures"/>
    <n v="16.2"/>
    <n v="21.8"/>
  </r>
  <r>
    <n v="386"/>
    <x v="385"/>
    <x v="24"/>
    <x v="6"/>
    <x v="1"/>
    <x v="6"/>
    <x v="336"/>
    <n v="27.3"/>
    <n v="7.3"/>
    <s v="Yash Raj Films"/>
    <n v="16.7"/>
    <n v="157.5"/>
  </r>
  <r>
    <n v="387"/>
    <x v="386"/>
    <x v="13"/>
    <x v="7"/>
    <x v="2"/>
    <x v="48"/>
    <x v="337"/>
    <n v="217.8"/>
    <n v="6.6"/>
    <s v="Universal"/>
    <n v="149.1"/>
    <n v="217"/>
  </r>
  <r>
    <n v="388"/>
    <x v="387"/>
    <x v="33"/>
    <x v="7"/>
    <x v="5"/>
    <x v="70"/>
    <x v="338"/>
    <n v="66.3"/>
    <n v="6.9"/>
    <s v="Disney"/>
    <n v="26.9"/>
    <n v="68.3"/>
  </r>
  <r>
    <n v="389"/>
    <x v="388"/>
    <x v="16"/>
    <x v="4"/>
    <x v="2"/>
    <x v="97"/>
    <x v="339"/>
    <n v="215.2"/>
    <n v="6"/>
    <s v="A24"/>
    <n v="169.3"/>
    <n v="368.8"/>
  </r>
  <r>
    <n v="390"/>
    <x v="389"/>
    <x v="11"/>
    <x v="3"/>
    <x v="1"/>
    <x v="65"/>
    <x v="110"/>
    <n v="9"/>
    <n v="7.3"/>
    <s v="Aamir Khan Productions"/>
    <n v="0.5"/>
    <n v="5.9"/>
  </r>
  <r>
    <n v="391"/>
    <x v="390"/>
    <x v="10"/>
    <x v="8"/>
    <x v="1"/>
    <x v="1"/>
    <x v="67"/>
    <n v="42.7"/>
    <n v="7"/>
    <s v="Mythri Movie Makers"/>
    <n v="20"/>
    <n v="88.09999999999999"/>
  </r>
  <r>
    <n v="392"/>
    <x v="391"/>
    <x v="27"/>
    <x v="4"/>
    <x v="2"/>
    <x v="19"/>
    <x v="340"/>
    <n v="327"/>
    <n v="8"/>
    <s v="Disney"/>
    <n v="269.4"/>
    <n v="467.7"/>
  </r>
  <r>
    <n v="393"/>
    <x v="392"/>
    <x v="16"/>
    <x v="4"/>
    <x v="5"/>
    <x v="65"/>
    <x v="195"/>
    <n v="69.59999999999999"/>
    <n v="7.3"/>
    <s v="A24"/>
    <n v="-31.5"/>
    <n v="-31.2"/>
  </r>
  <r>
    <n v="394"/>
    <x v="393"/>
    <x v="9"/>
    <x v="7"/>
    <x v="2"/>
    <x v="44"/>
    <x v="141"/>
    <n v="41.2"/>
    <n v="8.9"/>
    <s v="Universal"/>
    <n v="31.6"/>
    <n v="329.2"/>
  </r>
  <r>
    <n v="395"/>
    <x v="394"/>
    <x v="33"/>
    <x v="4"/>
    <x v="1"/>
    <x v="12"/>
    <x v="341"/>
    <n v="44.9"/>
    <n v="7.5"/>
    <s v="Yash Raj Films"/>
    <n v="30.5"/>
    <n v="211.8"/>
  </r>
  <r>
    <n v="396"/>
    <x v="395"/>
    <x v="12"/>
    <x v="7"/>
    <x v="1"/>
    <x v="71"/>
    <x v="342"/>
    <n v="29.1"/>
    <n v="9.5"/>
    <s v="Panorama Studios"/>
    <n v="19.9"/>
    <n v="216.3"/>
  </r>
  <r>
    <n v="397"/>
    <x v="396"/>
    <x v="34"/>
    <x v="2"/>
    <x v="5"/>
    <x v="7"/>
    <x v="93"/>
    <n v="158.6"/>
    <n v="7.9"/>
    <s v="Sony Pictures"/>
    <n v="103.5"/>
    <n v="187.8"/>
  </r>
  <r>
    <n v="398"/>
    <x v="397"/>
    <x v="9"/>
    <x v="8"/>
    <x v="6"/>
    <x v="70"/>
    <x v="343"/>
    <n v="271.1"/>
    <n v="6.6"/>
    <s v="Sony Pictures"/>
    <n v="109.1"/>
    <n v="67.3"/>
  </r>
  <r>
    <n v="399"/>
    <x v="398"/>
    <x v="33"/>
    <x v="1"/>
    <x v="3"/>
    <x v="83"/>
    <x v="344"/>
    <n v="165.9"/>
    <n v="6.8"/>
    <s v="Universal"/>
    <n v="57.5"/>
    <n v="53"/>
  </r>
  <r>
    <n v="400"/>
    <x v="399"/>
    <x v="10"/>
    <x v="5"/>
    <x v="6"/>
    <x v="1"/>
    <x v="25"/>
    <n v="34.6"/>
    <n v="6.6"/>
    <s v="Universal"/>
    <n v="10.4"/>
    <n v="43"/>
  </r>
  <r>
    <n v="401"/>
    <x v="400"/>
    <x v="26"/>
    <x v="9"/>
    <x v="2"/>
    <x v="2"/>
    <x v="345"/>
    <n v="336.2"/>
    <n v="7.5"/>
    <s v="Lionsgate"/>
    <n v="236.2"/>
    <n v="236.2"/>
  </r>
  <r>
    <n v="402"/>
    <x v="401"/>
    <x v="2"/>
    <x v="5"/>
    <x v="2"/>
    <x v="29"/>
    <x v="346"/>
    <n v="210.3"/>
    <n v="8.6"/>
    <s v="Marvel"/>
    <n v="141.3"/>
    <n v="204.8"/>
  </r>
  <r>
    <n v="403"/>
    <x v="402"/>
    <x v="12"/>
    <x v="5"/>
    <x v="2"/>
    <x v="61"/>
    <x v="300"/>
    <n v="66.09999999999999"/>
    <n v="7.8"/>
    <s v="Marvel"/>
    <n v="37.8"/>
    <n v="133.6"/>
  </r>
  <r>
    <n v="404"/>
    <x v="403"/>
    <x v="27"/>
    <x v="5"/>
    <x v="2"/>
    <x v="7"/>
    <x v="347"/>
    <n v="433.3"/>
    <n v="6.7"/>
    <s v="Universal"/>
    <n v="321.5"/>
    <n v="287.6"/>
  </r>
  <r>
    <n v="405"/>
    <x v="404"/>
    <x v="26"/>
    <x v="5"/>
    <x v="1"/>
    <x v="61"/>
    <x v="348"/>
    <n v="31.1"/>
    <n v="6.4"/>
    <s v="Aamir Khan Productions"/>
    <n v="15.7"/>
    <n v="101.9"/>
  </r>
  <r>
    <n v="406"/>
    <x v="405"/>
    <x v="26"/>
    <x v="1"/>
    <x v="2"/>
    <x v="17"/>
    <x v="250"/>
    <n v="186"/>
    <n v="7.4"/>
    <s v="Disney"/>
    <n v="142.5"/>
    <n v="327.6"/>
  </r>
  <r>
    <n v="407"/>
    <x v="406"/>
    <x v="9"/>
    <x v="1"/>
    <x v="3"/>
    <x v="35"/>
    <x v="349"/>
    <n v="736.6"/>
    <n v="6.5"/>
    <s v="Sony Pictures"/>
    <n v="564.8"/>
    <n v="328.8"/>
  </r>
  <r>
    <n v="408"/>
    <x v="407"/>
    <x v="1"/>
    <x v="2"/>
    <x v="7"/>
    <x v="19"/>
    <x v="167"/>
    <n v="54.7"/>
    <n v="7.6"/>
    <s v="Warner Bros."/>
    <n v="26.1"/>
    <n v="91.3"/>
  </r>
  <r>
    <n v="409"/>
    <x v="408"/>
    <x v="34"/>
    <x v="9"/>
    <x v="1"/>
    <x v="22"/>
    <x v="350"/>
    <n v="96.90000000000001"/>
    <n v="6.1"/>
    <s v="Panorama Studios"/>
    <n v="60.7"/>
    <n v="167.7"/>
  </r>
  <r>
    <n v="410"/>
    <x v="409"/>
    <x v="2"/>
    <x v="0"/>
    <x v="2"/>
    <x v="66"/>
    <x v="351"/>
    <n v="339.8"/>
    <n v="7.1"/>
    <s v="A24"/>
    <n v="256.6"/>
    <n v="308.4"/>
  </r>
  <r>
    <n v="411"/>
    <x v="410"/>
    <x v="34"/>
    <x v="0"/>
    <x v="2"/>
    <x v="83"/>
    <x v="352"/>
    <n v="341.2"/>
    <n v="7.2"/>
    <s v="A24"/>
    <n v="259.9"/>
    <n v="319.7"/>
  </r>
  <r>
    <n v="412"/>
    <x v="411"/>
    <x v="13"/>
    <x v="4"/>
    <x v="0"/>
    <x v="71"/>
    <x v="353"/>
    <n v="45.5"/>
    <n v="6.3"/>
    <s v="CJ Entertainment"/>
    <n v="2.6"/>
    <n v="6.1"/>
  </r>
  <r>
    <n v="413"/>
    <x v="412"/>
    <x v="23"/>
    <x v="3"/>
    <x v="2"/>
    <x v="9"/>
    <x v="354"/>
    <n v="553.6"/>
    <n v="6.9"/>
    <s v="Pixar"/>
    <n v="312.6"/>
    <n v="129.7"/>
  </r>
  <r>
    <n v="414"/>
    <x v="413"/>
    <x v="26"/>
    <x v="4"/>
    <x v="4"/>
    <x v="52"/>
    <x v="355"/>
    <n v="105.5"/>
    <n v="7.3"/>
    <s v="Pixar"/>
    <n v="28.5"/>
    <n v="37"/>
  </r>
  <r>
    <n v="415"/>
    <x v="414"/>
    <x v="6"/>
    <x v="3"/>
    <x v="3"/>
    <x v="46"/>
    <x v="356"/>
    <n v="569.1"/>
    <n v="5.7"/>
    <s v="Universal"/>
    <n v="387.2"/>
    <n v="212.9"/>
  </r>
  <r>
    <n v="416"/>
    <x v="415"/>
    <x v="4"/>
    <x v="6"/>
    <x v="3"/>
    <x v="19"/>
    <x v="357"/>
    <n v="232.9"/>
    <n v="7.4"/>
    <s v="A24"/>
    <n v="120.3"/>
    <n v="106.8"/>
  </r>
  <r>
    <n v="417"/>
    <x v="416"/>
    <x v="22"/>
    <x v="8"/>
    <x v="2"/>
    <x v="95"/>
    <x v="358"/>
    <n v="129.5"/>
    <n v="7.4"/>
    <s v="Paramount"/>
    <n v="75.5"/>
    <n v="139.8"/>
  </r>
  <r>
    <n v="418"/>
    <x v="417"/>
    <x v="19"/>
    <x v="5"/>
    <x v="2"/>
    <x v="15"/>
    <x v="359"/>
    <n v="121.8"/>
    <n v="6"/>
    <s v="20th Century Fox"/>
    <n v="42.9"/>
    <n v="54.4"/>
  </r>
  <r>
    <n v="419"/>
    <x v="418"/>
    <x v="2"/>
    <x v="2"/>
    <x v="2"/>
    <x v="67"/>
    <x v="216"/>
    <n v="23.8"/>
    <n v="7.2"/>
    <s v="Lionsgate"/>
    <n v="-10.3"/>
    <n v="-30.2"/>
  </r>
  <r>
    <n v="420"/>
    <x v="419"/>
    <x v="10"/>
    <x v="0"/>
    <x v="1"/>
    <x v="12"/>
    <x v="202"/>
    <n v="73.40000000000001"/>
    <n v="6.7"/>
    <s v="Mythri Movie Makers"/>
    <n v="46.4"/>
    <n v="171.9"/>
  </r>
  <r>
    <n v="421"/>
    <x v="420"/>
    <x v="7"/>
    <x v="9"/>
    <x v="2"/>
    <x v="65"/>
    <x v="360"/>
    <n v="28.9"/>
    <n v="5.7"/>
    <s v="Warner Bros."/>
    <n v="-11.4"/>
    <n v="-28.3"/>
  </r>
  <r>
    <n v="422"/>
    <x v="421"/>
    <x v="32"/>
    <x v="1"/>
    <x v="2"/>
    <x v="71"/>
    <x v="361"/>
    <n v="220.1"/>
    <n v="7.5"/>
    <s v="A24"/>
    <n v="126.6"/>
    <n v="135.4"/>
  </r>
  <r>
    <n v="423"/>
    <x v="422"/>
    <x v="30"/>
    <x v="9"/>
    <x v="1"/>
    <x v="62"/>
    <x v="245"/>
    <n v="21.6"/>
    <n v="4.9"/>
    <s v="Mythri Movie Makers"/>
    <n v="-30.5"/>
    <n v="-58.5"/>
  </r>
  <r>
    <n v="424"/>
    <x v="423"/>
    <x v="32"/>
    <x v="6"/>
    <x v="1"/>
    <x v="73"/>
    <x v="247"/>
    <n v="14.9"/>
    <n v="7.3"/>
    <s v="Hombale Films"/>
    <n v="5.6"/>
    <n v="60.2"/>
  </r>
  <r>
    <n v="425"/>
    <x v="424"/>
    <x v="8"/>
    <x v="1"/>
    <x v="6"/>
    <x v="32"/>
    <x v="362"/>
    <n v="34.2"/>
    <n v="7.5"/>
    <s v="Disney"/>
    <n v="20.2"/>
    <n v="144.3"/>
  </r>
  <r>
    <n v="426"/>
    <x v="425"/>
    <x v="14"/>
    <x v="8"/>
    <x v="1"/>
    <x v="102"/>
    <x v="12"/>
    <n v="87.40000000000001"/>
    <n v="6.3"/>
    <s v="Aamir Khan Productions"/>
    <n v="43.3"/>
    <n v="98.2"/>
  </r>
  <r>
    <n v="427"/>
    <x v="426"/>
    <x v="8"/>
    <x v="9"/>
    <x v="2"/>
    <x v="47"/>
    <x v="328"/>
    <n v="168.1"/>
    <n v="5.7"/>
    <s v="Universal"/>
    <n v="115.9"/>
    <n v="222"/>
  </r>
  <r>
    <n v="428"/>
    <x v="427"/>
    <x v="13"/>
    <x v="2"/>
    <x v="2"/>
    <x v="62"/>
    <x v="363"/>
    <n v="429.8"/>
    <n v="6.9"/>
    <s v="20th Century Fox"/>
    <n v="345.1"/>
    <n v="407.4"/>
  </r>
  <r>
    <n v="429"/>
    <x v="428"/>
    <x v="24"/>
    <x v="9"/>
    <x v="1"/>
    <x v="24"/>
    <x v="166"/>
    <n v="45.7"/>
    <n v="7.4"/>
    <s v="Panorama Studios"/>
    <n v="12.7"/>
    <n v="38.5"/>
  </r>
  <r>
    <n v="430"/>
    <x v="429"/>
    <x v="11"/>
    <x v="1"/>
    <x v="1"/>
    <x v="6"/>
    <x v="198"/>
    <n v="23.4"/>
    <n v="8.5"/>
    <s v="Aamir Khan Productions"/>
    <n v="11.4"/>
    <n v="95"/>
  </r>
  <r>
    <n v="431"/>
    <x v="430"/>
    <x v="8"/>
    <x v="4"/>
    <x v="2"/>
    <x v="57"/>
    <x v="364"/>
    <n v="389.5"/>
    <n v="8.199999999999999"/>
    <s v="Paramount"/>
    <n v="313.8"/>
    <n v="414.5"/>
  </r>
  <r>
    <n v="432"/>
    <x v="431"/>
    <x v="14"/>
    <x v="6"/>
    <x v="2"/>
    <x v="7"/>
    <x v="92"/>
    <n v="107.7"/>
    <n v="8.300000000000001"/>
    <s v="Warner Bros."/>
    <n v="73.7"/>
    <n v="216.8"/>
  </r>
  <r>
    <n v="433"/>
    <x v="432"/>
    <x v="32"/>
    <x v="4"/>
    <x v="2"/>
    <x v="38"/>
    <x v="365"/>
    <n v="705"/>
    <n v="7.2"/>
    <s v="Sony Pictures"/>
    <n v="581.5"/>
    <n v="470.9"/>
  </r>
  <r>
    <n v="434"/>
    <x v="433"/>
    <x v="4"/>
    <x v="4"/>
    <x v="2"/>
    <x v="79"/>
    <x v="366"/>
    <n v="173.3"/>
    <n v="8"/>
    <s v="Pixar"/>
    <n v="117.2"/>
    <n v="208.9"/>
  </r>
  <r>
    <n v="435"/>
    <x v="434"/>
    <x v="4"/>
    <x v="9"/>
    <x v="2"/>
    <x v="103"/>
    <x v="367"/>
    <n v="149.2"/>
    <n v="6.9"/>
    <s v="A24"/>
    <n v="103.7"/>
    <n v="227.9"/>
  </r>
  <r>
    <n v="436"/>
    <x v="435"/>
    <x v="22"/>
    <x v="6"/>
    <x v="1"/>
    <x v="95"/>
    <x v="368"/>
    <n v="62.1"/>
    <n v="6.6"/>
    <s v="Yash Raj Films"/>
    <n v="42.8"/>
    <n v="221.8"/>
  </r>
  <r>
    <n v="437"/>
    <x v="436"/>
    <x v="31"/>
    <x v="3"/>
    <x v="2"/>
    <x v="57"/>
    <x v="369"/>
    <n v="77.2"/>
    <n v="7.2"/>
    <s v="Marvel"/>
    <n v="-36"/>
    <n v="-31.8"/>
  </r>
  <r>
    <n v="438"/>
    <x v="437"/>
    <x v="18"/>
    <x v="7"/>
    <x v="6"/>
    <x v="24"/>
    <x v="370"/>
    <n v="129.2"/>
    <n v="6.4"/>
    <s v="Sony Pictures"/>
    <n v="100.7"/>
    <n v="353.3"/>
  </r>
  <r>
    <n v="439"/>
    <x v="438"/>
    <x v="12"/>
    <x v="1"/>
    <x v="2"/>
    <x v="30"/>
    <x v="371"/>
    <n v="54.2"/>
    <n v="6.9"/>
    <s v="Lionsgate"/>
    <n v="24"/>
    <n v="79.5"/>
  </r>
  <r>
    <n v="440"/>
    <x v="439"/>
    <x v="33"/>
    <x v="9"/>
    <x v="2"/>
    <x v="46"/>
    <x v="29"/>
    <n v="354"/>
    <n v="6.6"/>
    <s v="Warner Bros."/>
    <n v="249.3"/>
    <n v="238.1"/>
  </r>
  <r>
    <n v="441"/>
    <x v="440"/>
    <x v="24"/>
    <x v="0"/>
    <x v="2"/>
    <x v="71"/>
    <x v="115"/>
    <n v="85.59999999999999"/>
    <n v="7.7"/>
    <s v="Paramount"/>
    <n v="36.5"/>
    <n v="74.3"/>
  </r>
  <r>
    <n v="442"/>
    <x v="441"/>
    <x v="35"/>
    <x v="0"/>
    <x v="2"/>
    <x v="71"/>
    <x v="372"/>
    <n v="42.3"/>
    <n v="7.5"/>
    <s v="Paramount"/>
    <n v="1.1"/>
    <n v="2.7"/>
  </r>
  <r>
    <n v="443"/>
    <x v="442"/>
    <x v="32"/>
    <x v="9"/>
    <x v="2"/>
    <x v="36"/>
    <x v="216"/>
    <n v="36.1"/>
    <n v="5.9"/>
    <s v="Marvel"/>
    <n v="2"/>
    <n v="5.9"/>
  </r>
  <r>
    <n v="444"/>
    <x v="443"/>
    <x v="10"/>
    <x v="9"/>
    <x v="2"/>
    <x v="46"/>
    <x v="131"/>
    <n v="55.2"/>
    <n v="5.8"/>
    <s v="Pixar"/>
    <n v="9.5"/>
    <n v="20.8"/>
  </r>
  <r>
    <n v="445"/>
    <x v="444"/>
    <x v="8"/>
    <x v="7"/>
    <x v="0"/>
    <x v="2"/>
    <x v="115"/>
    <n v="175.8"/>
    <n v="7.3"/>
    <s v="CJ Entertainment"/>
    <n v="126.7"/>
    <n v="258"/>
  </r>
  <r>
    <n v="446"/>
    <x v="445"/>
    <x v="34"/>
    <x v="2"/>
    <x v="6"/>
    <x v="71"/>
    <x v="373"/>
    <n v="132.2"/>
    <n v="7.7"/>
    <s v="Paramount"/>
    <n v="84.40000000000001"/>
    <n v="176.6"/>
  </r>
  <r>
    <n v="447"/>
    <x v="446"/>
    <x v="19"/>
    <x v="4"/>
    <x v="2"/>
    <x v="32"/>
    <x v="374"/>
    <n v="78.5"/>
    <n v="7.9"/>
    <s v="Marvel"/>
    <n v="62.7"/>
    <n v="396.8"/>
  </r>
  <r>
    <n v="448"/>
    <x v="447"/>
    <x v="1"/>
    <x v="5"/>
    <x v="2"/>
    <x v="1"/>
    <x v="366"/>
    <n v="127.1"/>
    <n v="5.6"/>
    <s v="Marvel"/>
    <n v="71"/>
    <n v="126.6"/>
  </r>
  <r>
    <n v="449"/>
    <x v="448"/>
    <x v="9"/>
    <x v="9"/>
    <x v="2"/>
    <x v="58"/>
    <x v="375"/>
    <n v="357.7"/>
    <n v="7"/>
    <s v="Lionsgate"/>
    <n v="184.2"/>
    <n v="106.2"/>
  </r>
  <r>
    <n v="450"/>
    <x v="449"/>
    <x v="5"/>
    <x v="7"/>
    <x v="2"/>
    <x v="12"/>
    <x v="376"/>
    <n v="254.4"/>
    <n v="7.1"/>
    <s v="Disney"/>
    <n v="145.9"/>
    <n v="134.5"/>
  </r>
  <r>
    <n v="451"/>
    <x v="450"/>
    <x v="24"/>
    <x v="0"/>
    <x v="2"/>
    <x v="12"/>
    <x v="377"/>
    <n v="53.8"/>
    <n v="6.7"/>
    <s v="Marvel"/>
    <n v="40.5"/>
    <n v="304.5"/>
  </r>
  <r>
    <n v="452"/>
    <x v="451"/>
    <x v="3"/>
    <x v="1"/>
    <x v="7"/>
    <x v="71"/>
    <x v="378"/>
    <n v="252.3"/>
    <n v="5.1"/>
    <s v="Marvel"/>
    <n v="60.4"/>
    <n v="31.5"/>
  </r>
  <r>
    <n v="453"/>
    <x v="452"/>
    <x v="23"/>
    <x v="6"/>
    <x v="1"/>
    <x v="47"/>
    <x v="81"/>
    <n v="6.3"/>
    <n v="7.7"/>
    <s v="Aamir Khan Productions"/>
    <n v="-9"/>
    <n v="-58.8"/>
  </r>
  <r>
    <n v="454"/>
    <x v="453"/>
    <x v="18"/>
    <x v="3"/>
    <x v="3"/>
    <x v="71"/>
    <x v="379"/>
    <n v="631.3"/>
    <n v="7.7"/>
    <s v="A24"/>
    <n v="505.4"/>
    <n v="401.4"/>
  </r>
  <r>
    <n v="455"/>
    <x v="454"/>
    <x v="22"/>
    <x v="9"/>
    <x v="3"/>
    <x v="22"/>
    <x v="380"/>
    <n v="25"/>
    <n v="6.9"/>
    <s v="Disney"/>
    <n v="-10.4"/>
    <n v="-29.4"/>
  </r>
  <r>
    <n v="456"/>
    <x v="455"/>
    <x v="29"/>
    <x v="4"/>
    <x v="2"/>
    <x v="1"/>
    <x v="381"/>
    <n v="243.1"/>
    <n v="8.800000000000001"/>
    <s v="Warner Bros."/>
    <n v="136"/>
    <n v="127"/>
  </r>
  <r>
    <n v="457"/>
    <x v="456"/>
    <x v="9"/>
    <x v="7"/>
    <x v="1"/>
    <x v="40"/>
    <x v="382"/>
    <n v="31.3"/>
    <n v="7.9"/>
    <s v="Aamir Khan Productions"/>
    <n v="16.4"/>
    <n v="110.1"/>
  </r>
  <r>
    <n v="458"/>
    <x v="457"/>
    <x v="8"/>
    <x v="8"/>
    <x v="2"/>
    <x v="6"/>
    <x v="159"/>
    <n v="12.1"/>
    <n v="6.4"/>
    <s v="Disney"/>
    <n v="-12.5"/>
    <n v="-50.8"/>
  </r>
  <r>
    <n v="459"/>
    <x v="458"/>
    <x v="4"/>
    <x v="7"/>
    <x v="4"/>
    <x v="60"/>
    <x v="355"/>
    <n v="207.6"/>
    <n v="6.6"/>
    <s v="Pixar"/>
    <n v="130.6"/>
    <n v="169.6"/>
  </r>
  <r>
    <n v="460"/>
    <x v="459"/>
    <x v="26"/>
    <x v="9"/>
    <x v="2"/>
    <x v="63"/>
    <x v="383"/>
    <n v="135"/>
    <n v="7.3"/>
    <s v="20th Century Fox"/>
    <n v="71.5"/>
    <n v="112.6"/>
  </r>
  <r>
    <n v="461"/>
    <x v="460"/>
    <x v="15"/>
    <x v="3"/>
    <x v="1"/>
    <x v="71"/>
    <x v="384"/>
    <n v="20"/>
    <n v="7.3"/>
    <s v="Mythri Movie Makers"/>
    <n v="10.1"/>
    <n v="102"/>
  </r>
  <r>
    <n v="462"/>
    <x v="461"/>
    <x v="6"/>
    <x v="6"/>
    <x v="2"/>
    <x v="93"/>
    <x v="385"/>
    <n v="563.1"/>
    <n v="7.8"/>
    <s v="Universal"/>
    <n v="421.8"/>
    <n v="298.5"/>
  </r>
  <r>
    <n v="463"/>
    <x v="462"/>
    <x v="35"/>
    <x v="5"/>
    <x v="1"/>
    <x v="95"/>
    <x v="139"/>
    <n v="44.7"/>
    <n v="6.5"/>
    <s v="Aamir Khan Productions"/>
    <n v="18.4"/>
    <n v="70"/>
  </r>
  <r>
    <n v="464"/>
    <x v="463"/>
    <x v="21"/>
    <x v="3"/>
    <x v="1"/>
    <x v="32"/>
    <x v="258"/>
    <n v="16.2"/>
    <n v="6.2"/>
    <s v="Mythri Movie Makers"/>
    <n v="10.8"/>
    <n v="200"/>
  </r>
  <r>
    <n v="465"/>
    <x v="464"/>
    <x v="35"/>
    <x v="7"/>
    <x v="1"/>
    <x v="25"/>
    <x v="386"/>
    <n v="8.9"/>
    <n v="8.9"/>
    <s v="Yash Raj Films"/>
    <n v="-8.199999999999999"/>
    <n v="-48"/>
  </r>
  <r>
    <n v="466"/>
    <x v="465"/>
    <x v="2"/>
    <x v="8"/>
    <x v="3"/>
    <x v="14"/>
    <x v="387"/>
    <n v="138"/>
    <n v="8.1"/>
    <s v="A24"/>
    <n v="99.5"/>
    <n v="258.4"/>
  </r>
  <r>
    <n v="467"/>
    <x v="466"/>
    <x v="13"/>
    <x v="8"/>
    <x v="3"/>
    <x v="35"/>
    <x v="327"/>
    <n v="299.9"/>
    <n v="6"/>
    <s v="Pixar"/>
    <n v="215.4"/>
    <n v="254.9"/>
  </r>
  <r>
    <n v="468"/>
    <x v="467"/>
    <x v="2"/>
    <x v="8"/>
    <x v="2"/>
    <x v="25"/>
    <x v="388"/>
    <n v="185.5"/>
    <n v="5.5"/>
    <s v="20th Century Fox"/>
    <n v="69.59999999999999"/>
    <n v="60.1"/>
  </r>
  <r>
    <n v="469"/>
    <x v="468"/>
    <x v="22"/>
    <x v="3"/>
    <x v="2"/>
    <x v="80"/>
    <x v="389"/>
    <n v="63.2"/>
    <n v="7.4"/>
    <s v="Universal"/>
    <n v="-1.7"/>
    <n v="-2.6"/>
  </r>
  <r>
    <n v="470"/>
    <x v="469"/>
    <x v="4"/>
    <x v="9"/>
    <x v="1"/>
    <x v="14"/>
    <x v="390"/>
    <n v="19.9"/>
    <n v="6"/>
    <s v="Hombale Films"/>
    <n v="8.6"/>
    <n v="76.09999999999999"/>
  </r>
  <r>
    <n v="471"/>
    <x v="470"/>
    <x v="23"/>
    <x v="9"/>
    <x v="2"/>
    <x v="15"/>
    <x v="391"/>
    <n v="165.6"/>
    <n v="6.2"/>
    <s v="Paramount"/>
    <n v="96.7"/>
    <n v="140.3"/>
  </r>
  <r>
    <n v="472"/>
    <x v="471"/>
    <x v="31"/>
    <x v="1"/>
    <x v="4"/>
    <x v="32"/>
    <x v="182"/>
    <n v="62.9"/>
    <n v="8.4"/>
    <s v="A24"/>
    <n v="-11.8"/>
    <n v="-15.8"/>
  </r>
  <r>
    <n v="473"/>
    <x v="472"/>
    <x v="23"/>
    <x v="1"/>
    <x v="2"/>
    <x v="15"/>
    <x v="392"/>
    <n v="93.09999999999999"/>
    <n v="7.6"/>
    <s v="Disney"/>
    <n v="65.7"/>
    <n v="239.8"/>
  </r>
  <r>
    <n v="474"/>
    <x v="473"/>
    <x v="34"/>
    <x v="0"/>
    <x v="2"/>
    <x v="103"/>
    <x v="393"/>
    <n v="514.6"/>
    <n v="7.5"/>
    <s v="Marvel"/>
    <n v="366.8"/>
    <n v="248.2"/>
  </r>
  <r>
    <n v="475"/>
    <x v="474"/>
    <x v="31"/>
    <x v="6"/>
    <x v="2"/>
    <x v="102"/>
    <x v="334"/>
    <n v="27.2"/>
    <n v="7.3"/>
    <s v="Lionsgate"/>
    <n v="17.5"/>
    <n v="180.4"/>
  </r>
  <r>
    <n v="476"/>
    <x v="475"/>
    <x v="6"/>
    <x v="3"/>
    <x v="6"/>
    <x v="58"/>
    <x v="394"/>
    <n v="96.8"/>
    <n v="6.7"/>
    <s v="Sony Pictures"/>
    <n v="57.6"/>
    <n v="146.9"/>
  </r>
  <r>
    <n v="477"/>
    <x v="476"/>
    <x v="18"/>
    <x v="1"/>
    <x v="1"/>
    <x v="53"/>
    <x v="395"/>
    <n v="4.6"/>
    <n v="7.1"/>
    <s v="Panorama Studios"/>
    <n v="0.3"/>
    <n v="7"/>
  </r>
  <r>
    <n v="478"/>
    <x v="477"/>
    <x v="13"/>
    <x v="1"/>
    <x v="6"/>
    <x v="100"/>
    <x v="396"/>
    <n v="108"/>
    <n v="8.699999999999999"/>
    <s v="20th Century Fox"/>
    <n v="87.2"/>
    <n v="419.2"/>
  </r>
  <r>
    <n v="479"/>
    <x v="478"/>
    <x v="29"/>
    <x v="0"/>
    <x v="2"/>
    <x v="25"/>
    <x v="397"/>
    <n v="323.4"/>
    <n v="7.2"/>
    <s v="Disney"/>
    <n v="45.9"/>
    <n v="16.5"/>
  </r>
  <r>
    <n v="480"/>
    <x v="479"/>
    <x v="9"/>
    <x v="7"/>
    <x v="2"/>
    <x v="26"/>
    <x v="398"/>
    <n v="84.09999999999999"/>
    <n v="6.4"/>
    <s v="Disney"/>
    <n v="24.3"/>
    <n v="40.6"/>
  </r>
  <r>
    <n v="481"/>
    <x v="480"/>
    <x v="35"/>
    <x v="5"/>
    <x v="2"/>
    <x v="57"/>
    <x v="399"/>
    <n v="99.8"/>
    <n v="5"/>
    <s v="Disney"/>
    <n v="57.1"/>
    <n v="133.7"/>
  </r>
  <r>
    <n v="482"/>
    <x v="481"/>
    <x v="20"/>
    <x v="4"/>
    <x v="2"/>
    <x v="79"/>
    <x v="400"/>
    <n v="247.1"/>
    <n v="6.4"/>
    <s v="Disney"/>
    <n v="175.6"/>
    <n v="245.6"/>
  </r>
  <r>
    <n v="483"/>
    <x v="482"/>
    <x v="3"/>
    <x v="1"/>
    <x v="1"/>
    <x v="27"/>
    <x v="187"/>
    <n v="12"/>
    <n v="6.7"/>
    <s v="Mythri Movie Makers"/>
    <n v="7.6"/>
    <n v="172.7"/>
  </r>
  <r>
    <n v="484"/>
    <x v="483"/>
    <x v="22"/>
    <x v="8"/>
    <x v="3"/>
    <x v="3"/>
    <x v="401"/>
    <n v="90.40000000000001"/>
    <n v="7.9"/>
    <s v="Pixar"/>
    <n v="-58.6"/>
    <n v="-39.3"/>
  </r>
  <r>
    <n v="485"/>
    <x v="484"/>
    <x v="12"/>
    <x v="3"/>
    <x v="2"/>
    <x v="57"/>
    <x v="402"/>
    <n v="188.4"/>
    <n v="8.699999999999999"/>
    <s v="Pixar"/>
    <n v="140.9"/>
    <n v="296.6"/>
  </r>
  <r>
    <n v="486"/>
    <x v="485"/>
    <x v="2"/>
    <x v="9"/>
    <x v="2"/>
    <x v="44"/>
    <x v="403"/>
    <n v="78.5"/>
    <n v="7.2"/>
    <s v="Marvel"/>
    <n v="-18.2"/>
    <n v="-18.8"/>
  </r>
  <r>
    <n v="487"/>
    <x v="486"/>
    <x v="12"/>
    <x v="0"/>
    <x v="2"/>
    <x v="18"/>
    <x v="404"/>
    <n v="363.9"/>
    <n v="7.8"/>
    <s v="Marvel"/>
    <n v="222.1"/>
    <n v="156.6"/>
  </r>
  <r>
    <n v="488"/>
    <x v="487"/>
    <x v="12"/>
    <x v="9"/>
    <x v="2"/>
    <x v="41"/>
    <x v="405"/>
    <n v="77.8"/>
    <n v="7.1"/>
    <s v="Disney"/>
    <n v="10.6"/>
    <n v="15.8"/>
  </r>
  <r>
    <n v="489"/>
    <x v="488"/>
    <x v="26"/>
    <x v="9"/>
    <x v="1"/>
    <x v="20"/>
    <x v="406"/>
    <n v="8.199999999999999"/>
    <n v="8.199999999999999"/>
    <s v="Yash Raj Films"/>
    <n v="2"/>
    <n v="32.3"/>
  </r>
  <r>
    <n v="490"/>
    <x v="489"/>
    <x v="15"/>
    <x v="8"/>
    <x v="1"/>
    <x v="48"/>
    <x v="407"/>
    <n v="13.7"/>
    <n v="8.9"/>
    <s v="Panorama Studios"/>
    <n v="-14.5"/>
    <n v="-51.4"/>
  </r>
  <r>
    <n v="491"/>
    <x v="490"/>
    <x v="2"/>
    <x v="6"/>
    <x v="2"/>
    <x v="29"/>
    <x v="408"/>
    <n v="65.3"/>
    <n v="5.5"/>
    <s v="A24"/>
    <n v="38.2"/>
    <n v="141"/>
  </r>
  <r>
    <n v="492"/>
    <x v="491"/>
    <x v="18"/>
    <x v="1"/>
    <x v="2"/>
    <x v="65"/>
    <x v="409"/>
    <n v="63.9"/>
    <n v="6.2"/>
    <s v="Pixar"/>
    <n v="23"/>
    <n v="56.2"/>
  </r>
  <r>
    <n v="493"/>
    <x v="492"/>
    <x v="13"/>
    <x v="5"/>
    <x v="2"/>
    <x v="61"/>
    <x v="2"/>
    <n v="191.8"/>
    <n v="8.199999999999999"/>
    <s v="Lionsgate"/>
    <n v="128.5"/>
    <n v="203"/>
  </r>
  <r>
    <n v="494"/>
    <x v="493"/>
    <x v="30"/>
    <x v="0"/>
    <x v="2"/>
    <x v="39"/>
    <x v="410"/>
    <n v="99.90000000000001"/>
    <n v="6.5"/>
    <s v="Warner Bros."/>
    <n v="51.7"/>
    <n v="107.3"/>
  </r>
  <r>
    <n v="495"/>
    <x v="494"/>
    <x v="14"/>
    <x v="6"/>
    <x v="2"/>
    <x v="14"/>
    <x v="411"/>
    <n v="88.09999999999999"/>
    <n v="7.7"/>
    <s v="Lionsgate"/>
    <n v="33.3"/>
    <n v="60.8"/>
  </r>
  <r>
    <n v="496"/>
    <x v="495"/>
    <x v="7"/>
    <x v="3"/>
    <x v="2"/>
    <x v="2"/>
    <x v="140"/>
    <n v="53.9"/>
    <n v="6.8"/>
    <s v="Warner Bros."/>
    <n v="20.5"/>
    <n v="61.4"/>
  </r>
  <r>
    <n v="497"/>
    <x v="496"/>
    <x v="26"/>
    <x v="0"/>
    <x v="2"/>
    <x v="7"/>
    <x v="412"/>
    <n v="458.9"/>
    <n v="8.5"/>
    <s v="Marvel"/>
    <n v="330.9"/>
    <n v="258.5"/>
  </r>
  <r>
    <n v="498"/>
    <x v="497"/>
    <x v="3"/>
    <x v="1"/>
    <x v="2"/>
    <x v="11"/>
    <x v="413"/>
    <n v="225.6"/>
    <n v="6.6"/>
    <s v="Marvel"/>
    <n v="129.8"/>
    <n v="135.5"/>
  </r>
  <r>
    <n v="499"/>
    <x v="498"/>
    <x v="22"/>
    <x v="1"/>
    <x v="1"/>
    <x v="33"/>
    <x v="414"/>
    <n v="5.1"/>
    <n v="6.5"/>
    <s v="Hombale Films"/>
    <n v="0.6"/>
    <n v="13.3"/>
  </r>
  <r>
    <n v="500"/>
    <x v="499"/>
    <x v="3"/>
    <x v="1"/>
    <x v="2"/>
    <x v="43"/>
    <x v="415"/>
    <n v="733.7"/>
    <n v="7.6"/>
    <s v="A24"/>
    <n v="588.9"/>
    <n v="406.7"/>
  </r>
  <r>
    <n v="501"/>
    <x v="500"/>
    <x v="24"/>
    <x v="9"/>
    <x v="4"/>
    <x v="27"/>
    <x v="416"/>
    <n v="218.4"/>
    <n v="6.7"/>
    <s v="Universal"/>
    <n v="146.1"/>
    <n v="202.1"/>
  </r>
  <r>
    <n v="502"/>
    <x v="501"/>
    <x v="17"/>
    <x v="3"/>
    <x v="2"/>
    <x v="12"/>
    <x v="417"/>
    <n v="101"/>
    <n v="5.9"/>
    <s v="Pixar"/>
    <n v="52.6"/>
    <n v="108.7"/>
  </r>
  <r>
    <n v="503"/>
    <x v="502"/>
    <x v="3"/>
    <x v="5"/>
    <x v="2"/>
    <x v="27"/>
    <x v="418"/>
    <n v="358"/>
    <n v="6.9"/>
    <s v="A24"/>
    <n v="253.2"/>
    <n v="241.6"/>
  </r>
  <r>
    <n v="504"/>
    <x v="503"/>
    <x v="15"/>
    <x v="5"/>
    <x v="0"/>
    <x v="95"/>
    <x v="220"/>
    <n v="54"/>
    <n v="7"/>
    <s v="CJ Entertainment"/>
    <n v="5.9"/>
    <n v="12.3"/>
  </r>
  <r>
    <n v="505"/>
    <x v="504"/>
    <x v="22"/>
    <x v="6"/>
    <x v="1"/>
    <x v="38"/>
    <x v="419"/>
    <n v="7.4"/>
    <n v="6.3"/>
    <s v="Yash Raj Films"/>
    <n v="4.2"/>
    <n v="131.2"/>
  </r>
  <r>
    <n v="506"/>
    <x v="505"/>
    <x v="35"/>
    <x v="1"/>
    <x v="6"/>
    <x v="46"/>
    <x v="257"/>
    <n v="172.1"/>
    <n v="8"/>
    <s v="Universal"/>
    <n v="131.5"/>
    <n v="323.9"/>
  </r>
  <r>
    <n v="507"/>
    <x v="506"/>
    <x v="29"/>
    <x v="0"/>
    <x v="1"/>
    <x v="2"/>
    <x v="420"/>
    <n v="14.5"/>
    <n v="6.8"/>
    <s v="Yash Raj Films"/>
    <n v="1.5"/>
    <n v="11.5"/>
  </r>
  <r>
    <n v="508"/>
    <x v="507"/>
    <x v="14"/>
    <x v="9"/>
    <x v="0"/>
    <x v="104"/>
    <x v="421"/>
    <n v="68.3"/>
    <n v="6.9"/>
    <s v="CJ Entertainment"/>
    <n v="-21.9"/>
    <n v="-24.3"/>
  </r>
  <r>
    <n v="509"/>
    <x v="508"/>
    <x v="32"/>
    <x v="6"/>
    <x v="2"/>
    <x v="99"/>
    <x v="422"/>
    <n v="160"/>
    <n v="6.7"/>
    <s v="Warner Bros."/>
    <n v="48.6"/>
    <n v="43.6"/>
  </r>
  <r>
    <n v="510"/>
    <x v="509"/>
    <x v="5"/>
    <x v="7"/>
    <x v="2"/>
    <x v="70"/>
    <x v="423"/>
    <n v="143.3"/>
    <n v="6.6"/>
    <s v="Disney"/>
    <n v="64.90000000000001"/>
    <n v="82.8"/>
  </r>
  <r>
    <n v="511"/>
    <x v="510"/>
    <x v="21"/>
    <x v="7"/>
    <x v="2"/>
    <x v="31"/>
    <x v="424"/>
    <n v="551.8"/>
    <n v="7.6"/>
    <s v="Disney"/>
    <n v="426.8"/>
    <n v="341.4"/>
  </r>
  <r>
    <n v="512"/>
    <x v="511"/>
    <x v="31"/>
    <x v="6"/>
    <x v="2"/>
    <x v="21"/>
    <x v="425"/>
    <n v="294.7"/>
    <n v="8"/>
    <s v="Sony Pictures"/>
    <n v="197.3"/>
    <n v="202.6"/>
  </r>
  <r>
    <n v="513"/>
    <x v="512"/>
    <x v="28"/>
    <x v="1"/>
    <x v="2"/>
    <x v="51"/>
    <x v="206"/>
    <n v="264.3"/>
    <n v="6.6"/>
    <s v="Warner Bros."/>
    <n v="206.3"/>
    <n v="355.7"/>
  </r>
  <r>
    <n v="514"/>
    <x v="513"/>
    <x v="29"/>
    <x v="6"/>
    <x v="1"/>
    <x v="48"/>
    <x v="175"/>
    <n v="14.7"/>
    <n v="6.7"/>
    <s v="Hombale Films"/>
    <n v="8"/>
    <n v="119.4"/>
  </r>
  <r>
    <n v="515"/>
    <x v="514"/>
    <x v="29"/>
    <x v="9"/>
    <x v="2"/>
    <x v="49"/>
    <x v="253"/>
    <n v="145.3"/>
    <n v="7"/>
    <s v="Marvel"/>
    <n v="27.5"/>
    <n v="23.3"/>
  </r>
  <r>
    <n v="516"/>
    <x v="515"/>
    <x v="13"/>
    <x v="2"/>
    <x v="7"/>
    <x v="48"/>
    <x v="426"/>
    <n v="97.3"/>
    <n v="5.6"/>
    <s v="Warner Bros."/>
    <n v="22.4"/>
    <n v="29.9"/>
  </r>
  <r>
    <n v="517"/>
    <x v="516"/>
    <x v="18"/>
    <x v="4"/>
    <x v="1"/>
    <x v="73"/>
    <x v="427"/>
    <n v="20.9"/>
    <n v="4.7"/>
    <s v="Panorama Studios"/>
    <n v="10"/>
    <n v="91.7"/>
  </r>
  <r>
    <n v="518"/>
    <x v="517"/>
    <x v="22"/>
    <x v="1"/>
    <x v="2"/>
    <x v="49"/>
    <x v="428"/>
    <n v="804.8"/>
    <n v="6.8"/>
    <s v="Paramount"/>
    <n v="639.9"/>
    <n v="388.1"/>
  </r>
  <r>
    <n v="519"/>
    <x v="518"/>
    <x v="14"/>
    <x v="0"/>
    <x v="2"/>
    <x v="71"/>
    <x v="105"/>
    <n v="199.9"/>
    <n v="7.1"/>
    <s v="Universal"/>
    <n v="127.4"/>
    <n v="175.7"/>
  </r>
  <r>
    <n v="520"/>
    <x v="519"/>
    <x v="20"/>
    <x v="3"/>
    <x v="2"/>
    <x v="42"/>
    <x v="429"/>
    <n v="71.7"/>
    <n v="5.9"/>
    <s v="Paramount"/>
    <n v="22.5"/>
    <n v="45.7"/>
  </r>
  <r>
    <n v="521"/>
    <x v="520"/>
    <x v="3"/>
    <x v="1"/>
    <x v="2"/>
    <x v="38"/>
    <x v="430"/>
    <n v="100.5"/>
    <n v="7.2"/>
    <s v="Sony Pictures"/>
    <n v="4.4"/>
    <n v="4.6"/>
  </r>
  <r>
    <n v="522"/>
    <x v="521"/>
    <x v="26"/>
    <x v="0"/>
    <x v="1"/>
    <x v="12"/>
    <x v="296"/>
    <n v="10.3"/>
    <n v="5.8"/>
    <s v="Panorama Studios"/>
    <n v="5.5"/>
    <n v="114.6"/>
  </r>
  <r>
    <n v="523"/>
    <x v="522"/>
    <x v="2"/>
    <x v="0"/>
    <x v="3"/>
    <x v="69"/>
    <x v="431"/>
    <n v="164.3"/>
    <n v="6.5"/>
    <s v="Marvel"/>
    <n v="118.1"/>
    <n v="255.6"/>
  </r>
  <r>
    <n v="524"/>
    <x v="523"/>
    <x v="14"/>
    <x v="7"/>
    <x v="1"/>
    <x v="71"/>
    <x v="432"/>
    <n v="31.1"/>
    <n v="7.1"/>
    <s v="Mythri Movie Makers"/>
    <n v="23.1"/>
    <n v="288.8"/>
  </r>
  <r>
    <n v="525"/>
    <x v="524"/>
    <x v="18"/>
    <x v="2"/>
    <x v="1"/>
    <x v="53"/>
    <x v="433"/>
    <n v="84.59999999999999"/>
    <n v="7.3"/>
    <s v="Hombale Films"/>
    <n v="60.7"/>
    <n v="254"/>
  </r>
  <r>
    <n v="526"/>
    <x v="525"/>
    <x v="3"/>
    <x v="3"/>
    <x v="2"/>
    <x v="97"/>
    <x v="434"/>
    <n v="92.09999999999999"/>
    <n v="6.1"/>
    <s v="Disney"/>
    <n v="21.2"/>
    <n v="29.9"/>
  </r>
  <r>
    <n v="527"/>
    <x v="526"/>
    <x v="10"/>
    <x v="1"/>
    <x v="2"/>
    <x v="45"/>
    <x v="435"/>
    <n v="76.7"/>
    <n v="7.7"/>
    <s v="Disney"/>
    <n v="62.2"/>
    <n v="429"/>
  </r>
  <r>
    <n v="528"/>
    <x v="527"/>
    <x v="16"/>
    <x v="7"/>
    <x v="2"/>
    <x v="46"/>
    <x v="436"/>
    <n v="68.3"/>
    <n v="6.1"/>
    <s v="Disney"/>
    <n v="38.9"/>
    <n v="132.3"/>
  </r>
  <r>
    <n v="529"/>
    <x v="528"/>
    <x v="22"/>
    <x v="7"/>
    <x v="5"/>
    <x v="72"/>
    <x v="437"/>
    <n v="166.5"/>
    <n v="7.6"/>
    <s v="Pixar"/>
    <n v="120.7"/>
    <n v="263.5"/>
  </r>
  <r>
    <n v="530"/>
    <x v="529"/>
    <x v="15"/>
    <x v="1"/>
    <x v="5"/>
    <x v="11"/>
    <x v="438"/>
    <n v="75.59999999999999"/>
    <n v="6.3"/>
    <s v="Warner Bros."/>
    <n v="35.4"/>
    <n v="88.09999999999999"/>
  </r>
  <r>
    <n v="531"/>
    <x v="530"/>
    <x v="34"/>
    <x v="5"/>
    <x v="2"/>
    <x v="9"/>
    <x v="439"/>
    <n v="216.3"/>
    <n v="7.5"/>
    <s v="Disney"/>
    <n v="113.3"/>
    <n v="110"/>
  </r>
  <r>
    <n v="532"/>
    <x v="531"/>
    <x v="20"/>
    <x v="6"/>
    <x v="2"/>
    <x v="31"/>
    <x v="93"/>
    <n v="117.1"/>
    <n v="6.4"/>
    <s v="Lionsgate"/>
    <n v="62"/>
    <n v="112.5"/>
  </r>
  <r>
    <n v="533"/>
    <x v="532"/>
    <x v="4"/>
    <x v="8"/>
    <x v="2"/>
    <x v="59"/>
    <x v="440"/>
    <n v="473.8"/>
    <n v="7.4"/>
    <s v="Lionsgate"/>
    <n v="329.8"/>
    <n v="229"/>
  </r>
  <r>
    <n v="534"/>
    <x v="533"/>
    <x v="19"/>
    <x v="5"/>
    <x v="2"/>
    <x v="73"/>
    <x v="199"/>
    <n v="104.1"/>
    <n v="9.199999999999999"/>
    <s v="20th Century Fox"/>
    <n v="57.1"/>
    <n v="121.5"/>
  </r>
  <r>
    <n v="535"/>
    <x v="534"/>
    <x v="7"/>
    <x v="1"/>
    <x v="2"/>
    <x v="105"/>
    <x v="297"/>
    <n v="41.8"/>
    <n v="7.6"/>
    <s v="Marvel"/>
    <n v="31.7"/>
    <n v="313.9"/>
  </r>
  <r>
    <n v="536"/>
    <x v="535"/>
    <x v="31"/>
    <x v="7"/>
    <x v="3"/>
    <x v="59"/>
    <x v="441"/>
    <n v="684.5"/>
    <n v="7.5"/>
    <s v="Universal"/>
    <n v="531.7"/>
    <n v="348"/>
  </r>
  <r>
    <n v="537"/>
    <x v="536"/>
    <x v="1"/>
    <x v="9"/>
    <x v="2"/>
    <x v="33"/>
    <x v="283"/>
    <n v="170"/>
    <n v="7.2"/>
    <s v="Lionsgate"/>
    <n v="93.7"/>
    <n v="122.8"/>
  </r>
  <r>
    <n v="538"/>
    <x v="537"/>
    <x v="9"/>
    <x v="9"/>
    <x v="1"/>
    <x v="32"/>
    <x v="225"/>
    <n v="4.8"/>
    <n v="7.5"/>
    <s v="Yash Raj Films"/>
    <n v="-3.3"/>
    <n v="-40.7"/>
  </r>
  <r>
    <n v="539"/>
    <x v="538"/>
    <x v="31"/>
    <x v="9"/>
    <x v="2"/>
    <x v="2"/>
    <x v="442"/>
    <n v="117.4"/>
    <n v="6.3"/>
    <s v="Sony Pictures"/>
    <n v="80"/>
    <n v="213.9"/>
  </r>
  <r>
    <n v="540"/>
    <x v="539"/>
    <x v="13"/>
    <x v="3"/>
    <x v="2"/>
    <x v="60"/>
    <x v="23"/>
    <n v="226"/>
    <n v="6.7"/>
    <s v="Warner Bros."/>
    <n v="126.6"/>
    <n v="127.4"/>
  </r>
  <r>
    <n v="541"/>
    <x v="540"/>
    <x v="13"/>
    <x v="9"/>
    <x v="1"/>
    <x v="48"/>
    <x v="443"/>
    <n v="100.7"/>
    <n v="8.5"/>
    <s v="Mythri Movie Makers"/>
    <n v="59.2"/>
    <n v="142.7"/>
  </r>
  <r>
    <n v="542"/>
    <x v="541"/>
    <x v="18"/>
    <x v="6"/>
    <x v="2"/>
    <x v="106"/>
    <x v="444"/>
    <n v="69.59999999999999"/>
    <n v="7"/>
    <s v="Marvel"/>
    <n v="-6.4"/>
    <n v="-8.4"/>
  </r>
  <r>
    <n v="543"/>
    <x v="542"/>
    <x v="34"/>
    <x v="8"/>
    <x v="5"/>
    <x v="14"/>
    <x v="13"/>
    <n v="17.1"/>
    <n v="8.9"/>
    <s v="Pixar"/>
    <n v="2.5"/>
    <n v="17.1"/>
  </r>
  <r>
    <n v="544"/>
    <x v="543"/>
    <x v="2"/>
    <x v="1"/>
    <x v="1"/>
    <x v="57"/>
    <x v="445"/>
    <n v="42.4"/>
    <n v="7.9"/>
    <s v="Hombale Films"/>
    <n v="29"/>
    <n v="216.4"/>
  </r>
  <r>
    <n v="545"/>
    <x v="544"/>
    <x v="17"/>
    <x v="4"/>
    <x v="1"/>
    <x v="58"/>
    <x v="174"/>
    <n v="54.2"/>
    <n v="6.6"/>
    <s v="Aamir Khan Productions"/>
    <n v="22.1"/>
    <n v="68.8"/>
  </r>
  <r>
    <n v="546"/>
    <x v="545"/>
    <x v="26"/>
    <x v="3"/>
    <x v="2"/>
    <x v="33"/>
    <x v="446"/>
    <n v="98.8"/>
    <n v="9.300000000000001"/>
    <s v="Lionsgate"/>
    <n v="68.8"/>
    <n v="229.3"/>
  </r>
  <r>
    <n v="547"/>
    <x v="546"/>
    <x v="20"/>
    <x v="0"/>
    <x v="1"/>
    <x v="11"/>
    <x v="447"/>
    <n v="33.1"/>
    <n v="6.3"/>
    <s v="Mythri Movie Makers"/>
    <n v="-46.6"/>
    <n v="-58.5"/>
  </r>
  <r>
    <n v="548"/>
    <x v="547"/>
    <x v="34"/>
    <x v="6"/>
    <x v="1"/>
    <x v="53"/>
    <x v="448"/>
    <n v="31.3"/>
    <n v="8"/>
    <s v="Hombale Films"/>
    <n v="18.7"/>
    <n v="148.4"/>
  </r>
  <r>
    <n v="549"/>
    <x v="548"/>
    <x v="13"/>
    <x v="6"/>
    <x v="1"/>
    <x v="49"/>
    <x v="31"/>
    <n v="7.4"/>
    <n v="7.5"/>
    <s v="Aamir Khan Productions"/>
    <n v="2.5"/>
    <n v="51"/>
  </r>
  <r>
    <n v="550"/>
    <x v="549"/>
    <x v="20"/>
    <x v="6"/>
    <x v="0"/>
    <x v="26"/>
    <x v="239"/>
    <n v="91.59999999999999"/>
    <n v="8.1"/>
    <s v="CJ Entertainment"/>
    <n v="37.8"/>
    <n v="70.3"/>
  </r>
  <r>
    <n v="551"/>
    <x v="550"/>
    <x v="32"/>
    <x v="4"/>
    <x v="2"/>
    <x v="31"/>
    <x v="449"/>
    <n v="155.7"/>
    <n v="6.6"/>
    <s v="Marvel"/>
    <n v="112.7"/>
    <n v="262.1"/>
  </r>
  <r>
    <n v="552"/>
    <x v="551"/>
    <x v="35"/>
    <x v="9"/>
    <x v="1"/>
    <x v="71"/>
    <x v="450"/>
    <n v="11.5"/>
    <n v="7.9"/>
    <s v="Yash Raj Films"/>
    <n v="6.5"/>
    <n v="130"/>
  </r>
  <r>
    <n v="553"/>
    <x v="552"/>
    <x v="25"/>
    <x v="6"/>
    <x v="2"/>
    <x v="61"/>
    <x v="451"/>
    <n v="25.4"/>
    <n v="7.7"/>
    <s v="Disney"/>
    <n v="-15.7"/>
    <n v="-38.2"/>
  </r>
  <r>
    <n v="554"/>
    <x v="553"/>
    <x v="21"/>
    <x v="8"/>
    <x v="1"/>
    <x v="28"/>
    <x v="38"/>
    <n v="12.3"/>
    <n v="7.8"/>
    <s v="Mythri Movie Makers"/>
    <n v="-0.2"/>
    <n v="-1.6"/>
  </r>
  <r>
    <n v="555"/>
    <x v="554"/>
    <x v="27"/>
    <x v="6"/>
    <x v="2"/>
    <x v="38"/>
    <x v="452"/>
    <n v="73.7"/>
    <n v="8"/>
    <s v="Disney"/>
    <n v="10"/>
    <n v="15.7"/>
  </r>
  <r>
    <n v="556"/>
    <x v="555"/>
    <x v="34"/>
    <x v="1"/>
    <x v="2"/>
    <x v="31"/>
    <x v="453"/>
    <n v="72.2"/>
    <n v="7.6"/>
    <s v="Warner Bros."/>
    <n v="37.4"/>
    <n v="107.5"/>
  </r>
  <r>
    <n v="557"/>
    <x v="556"/>
    <x v="5"/>
    <x v="1"/>
    <x v="1"/>
    <x v="0"/>
    <x v="320"/>
    <n v="2.7"/>
    <n v="6.6"/>
    <s v="Mythri Movie Makers"/>
    <n v="0.2"/>
    <n v="8"/>
  </r>
  <r>
    <n v="558"/>
    <x v="557"/>
    <x v="0"/>
    <x v="9"/>
    <x v="2"/>
    <x v="72"/>
    <x v="454"/>
    <n v="100.8"/>
    <n v="7.7"/>
    <s v="Sony Pictures"/>
    <n v="-13.6"/>
    <n v="-11.9"/>
  </r>
  <r>
    <n v="559"/>
    <x v="558"/>
    <x v="11"/>
    <x v="8"/>
    <x v="1"/>
    <x v="46"/>
    <x v="455"/>
    <n v="43.9"/>
    <n v="7.9"/>
    <s v="Hombale Films"/>
    <n v="26.3"/>
    <n v="149.4"/>
  </r>
  <r>
    <n v="560"/>
    <x v="559"/>
    <x v="32"/>
    <x v="1"/>
    <x v="1"/>
    <x v="68"/>
    <x v="31"/>
    <n v="4.9"/>
    <n v="8.199999999999999"/>
    <s v="Mythri Movie Makers"/>
    <n v="0"/>
    <n v="0"/>
  </r>
  <r>
    <n v="561"/>
    <x v="560"/>
    <x v="13"/>
    <x v="4"/>
    <x v="7"/>
    <x v="42"/>
    <x v="67"/>
    <n v="102.9"/>
    <n v="7.2"/>
    <s v="Lionsgate"/>
    <n v="80.2"/>
    <n v="353.3"/>
  </r>
  <r>
    <n v="562"/>
    <x v="561"/>
    <x v="5"/>
    <x v="5"/>
    <x v="2"/>
    <x v="73"/>
    <x v="456"/>
    <n v="218.5"/>
    <n v="6.6"/>
    <s v="A24"/>
    <n v="157.2"/>
    <n v="256.4"/>
  </r>
  <r>
    <n v="563"/>
    <x v="562"/>
    <x v="18"/>
    <x v="3"/>
    <x v="2"/>
    <x v="75"/>
    <x v="33"/>
    <n v="68.5"/>
    <n v="6"/>
    <s v="Universal"/>
    <n v="46.2"/>
    <n v="207.2"/>
  </r>
  <r>
    <n v="564"/>
    <x v="563"/>
    <x v="11"/>
    <x v="9"/>
    <x v="2"/>
    <x v="99"/>
    <x v="457"/>
    <n v="148.8"/>
    <n v="9.5"/>
    <s v="Universal"/>
    <n v="38.3"/>
    <n v="34.7"/>
  </r>
  <r>
    <n v="565"/>
    <x v="564"/>
    <x v="22"/>
    <x v="9"/>
    <x v="1"/>
    <x v="73"/>
    <x v="458"/>
    <n v="4.8"/>
    <n v="6.9"/>
    <s v="Yash Raj Films"/>
    <n v="-1.7"/>
    <n v="-26.2"/>
  </r>
  <r>
    <n v="566"/>
    <x v="565"/>
    <x v="21"/>
    <x v="0"/>
    <x v="2"/>
    <x v="23"/>
    <x v="368"/>
    <n v="34.3"/>
    <n v="7.4"/>
    <s v="Lionsgate"/>
    <n v="15"/>
    <n v="77.7"/>
  </r>
  <r>
    <n v="567"/>
    <x v="566"/>
    <x v="15"/>
    <x v="1"/>
    <x v="2"/>
    <x v="29"/>
    <x v="459"/>
    <n v="16.1"/>
    <n v="7.5"/>
    <s v="Marvel"/>
    <n v="-3"/>
    <n v="-15.7"/>
  </r>
  <r>
    <n v="568"/>
    <x v="567"/>
    <x v="13"/>
    <x v="9"/>
    <x v="2"/>
    <x v="27"/>
    <x v="460"/>
    <n v="333.4"/>
    <n v="6.9"/>
    <s v="Pixar"/>
    <n v="199.7"/>
    <n v="149.4"/>
  </r>
  <r>
    <n v="569"/>
    <x v="568"/>
    <x v="27"/>
    <x v="6"/>
    <x v="2"/>
    <x v="69"/>
    <x v="461"/>
    <n v="510.1"/>
    <n v="5.6"/>
    <s v="Marvel"/>
    <n v="348.8"/>
    <n v="216.2"/>
  </r>
  <r>
    <n v="570"/>
    <x v="569"/>
    <x v="8"/>
    <x v="0"/>
    <x v="1"/>
    <x v="40"/>
    <x v="322"/>
    <n v="49"/>
    <n v="7.2"/>
    <s v="Yash Raj Films"/>
    <n v="33.8"/>
    <n v="222.4"/>
  </r>
  <r>
    <n v="571"/>
    <x v="570"/>
    <x v="1"/>
    <x v="4"/>
    <x v="2"/>
    <x v="21"/>
    <x v="462"/>
    <n v="79.09999999999999"/>
    <n v="6.7"/>
    <s v="20th Century Fox"/>
    <n v="27.4"/>
    <n v="53"/>
  </r>
  <r>
    <n v="572"/>
    <x v="571"/>
    <x v="24"/>
    <x v="5"/>
    <x v="2"/>
    <x v="10"/>
    <x v="346"/>
    <n v="53.1"/>
    <n v="7.2"/>
    <s v="Lionsgate"/>
    <n v="-15.9"/>
    <n v="-23"/>
  </r>
  <r>
    <n v="573"/>
    <x v="572"/>
    <x v="33"/>
    <x v="9"/>
    <x v="5"/>
    <x v="26"/>
    <x v="463"/>
    <n v="22.3"/>
    <n v="7"/>
    <s v="Paramount"/>
    <n v="14.9"/>
    <n v="201.4"/>
  </r>
  <r>
    <n v="574"/>
    <x v="573"/>
    <x v="6"/>
    <x v="0"/>
    <x v="5"/>
    <x v="45"/>
    <x v="92"/>
    <n v="47.2"/>
    <n v="5.6"/>
    <s v="Lionsgate"/>
    <n v="13.2"/>
    <n v="38.8"/>
  </r>
  <r>
    <n v="575"/>
    <x v="574"/>
    <x v="27"/>
    <x v="9"/>
    <x v="7"/>
    <x v="13"/>
    <x v="464"/>
    <n v="106.7"/>
    <n v="8"/>
    <s v="Pixar"/>
    <n v="62.8"/>
    <n v="143.1"/>
  </r>
  <r>
    <n v="576"/>
    <x v="575"/>
    <x v="7"/>
    <x v="1"/>
    <x v="1"/>
    <x v="8"/>
    <x v="465"/>
    <n v="6.4"/>
    <n v="7.1"/>
    <s v="Aamir Khan Productions"/>
    <n v="1.2"/>
    <n v="23.1"/>
  </r>
  <r>
    <n v="577"/>
    <x v="576"/>
    <x v="2"/>
    <x v="0"/>
    <x v="2"/>
    <x v="45"/>
    <x v="33"/>
    <n v="67.3"/>
    <n v="7.3"/>
    <s v="Paramount"/>
    <n v="45"/>
    <n v="201.8"/>
  </r>
  <r>
    <n v="578"/>
    <x v="577"/>
    <x v="15"/>
    <x v="1"/>
    <x v="1"/>
    <x v="93"/>
    <x v="368"/>
    <n v="24.9"/>
    <n v="5.6"/>
    <s v="Hombale Films"/>
    <n v="5.6"/>
    <n v="29"/>
  </r>
  <r>
    <n v="579"/>
    <x v="578"/>
    <x v="13"/>
    <x v="3"/>
    <x v="1"/>
    <x v="107"/>
    <x v="99"/>
    <n v="24.1"/>
    <n v="7.6"/>
    <s v="Yash Raj Films"/>
    <n v="11.7"/>
    <n v="94.40000000000001"/>
  </r>
  <r>
    <n v="580"/>
    <x v="579"/>
    <x v="12"/>
    <x v="7"/>
    <x v="2"/>
    <x v="71"/>
    <x v="466"/>
    <n v="268.3"/>
    <n v="5.4"/>
    <s v="Sony Pictures"/>
    <n v="213.3"/>
    <n v="387.8"/>
  </r>
  <r>
    <n v="581"/>
    <x v="580"/>
    <x v="10"/>
    <x v="7"/>
    <x v="1"/>
    <x v="71"/>
    <x v="467"/>
    <n v="135.3"/>
    <n v="7.6"/>
    <s v="Aamir Khan Productions"/>
    <n v="103"/>
    <n v="318.9"/>
  </r>
  <r>
    <n v="582"/>
    <x v="581"/>
    <x v="20"/>
    <x v="3"/>
    <x v="1"/>
    <x v="68"/>
    <x v="300"/>
    <n v="39.3"/>
    <n v="7"/>
    <s v="Hombale Films"/>
    <n v="11"/>
    <n v="38.9"/>
  </r>
  <r>
    <n v="583"/>
    <x v="582"/>
    <x v="18"/>
    <x v="0"/>
    <x v="2"/>
    <x v="57"/>
    <x v="468"/>
    <n v="268.1"/>
    <n v="6.7"/>
    <s v="Universal"/>
    <n v="66.59999999999999"/>
    <n v="33.1"/>
  </r>
  <r>
    <n v="584"/>
    <x v="583"/>
    <x v="16"/>
    <x v="7"/>
    <x v="2"/>
    <x v="80"/>
    <x v="469"/>
    <n v="135.9"/>
    <n v="7"/>
    <s v="Sony Pictures"/>
    <n v="111.9"/>
    <n v="466.3"/>
  </r>
  <r>
    <n v="585"/>
    <x v="584"/>
    <x v="27"/>
    <x v="0"/>
    <x v="2"/>
    <x v="65"/>
    <x v="470"/>
    <n v="284"/>
    <n v="8.300000000000001"/>
    <s v="Disney"/>
    <n v="215.9"/>
    <n v="317"/>
  </r>
  <r>
    <n v="586"/>
    <x v="585"/>
    <x v="3"/>
    <x v="3"/>
    <x v="2"/>
    <x v="55"/>
    <x v="471"/>
    <n v="14"/>
    <n v="8.800000000000001"/>
    <s v="Universal"/>
    <n v="-10.4"/>
    <n v="-42.6"/>
  </r>
  <r>
    <n v="587"/>
    <x v="586"/>
    <x v="28"/>
    <x v="1"/>
    <x v="2"/>
    <x v="57"/>
    <x v="472"/>
    <n v="406.8"/>
    <n v="5"/>
    <s v="A24"/>
    <n v="275.6"/>
    <n v="210.1"/>
  </r>
  <r>
    <n v="588"/>
    <x v="587"/>
    <x v="32"/>
    <x v="8"/>
    <x v="1"/>
    <x v="24"/>
    <x v="59"/>
    <n v="1.6"/>
    <n v="7.6"/>
    <s v="Aamir Khan Productions"/>
    <n v="0.1"/>
    <n v="6.7"/>
  </r>
  <r>
    <n v="589"/>
    <x v="588"/>
    <x v="2"/>
    <x v="0"/>
    <x v="2"/>
    <x v="32"/>
    <x v="473"/>
    <n v="806.7"/>
    <n v="6.2"/>
    <s v="Sony Pictures"/>
    <n v="584.2"/>
    <n v="262.6"/>
  </r>
  <r>
    <n v="590"/>
    <x v="589"/>
    <x v="22"/>
    <x v="4"/>
    <x v="2"/>
    <x v="71"/>
    <x v="474"/>
    <n v="258.8"/>
    <n v="8.1"/>
    <s v="20th Century Fox"/>
    <n v="197.7"/>
    <n v="323.6"/>
  </r>
  <r>
    <n v="591"/>
    <x v="590"/>
    <x v="32"/>
    <x v="9"/>
    <x v="6"/>
    <x v="27"/>
    <x v="301"/>
    <n v="202.4"/>
    <n v="7.6"/>
    <s v="Marvel"/>
    <n v="112.3"/>
    <n v="124.6"/>
  </r>
  <r>
    <n v="592"/>
    <x v="591"/>
    <x v="3"/>
    <x v="3"/>
    <x v="2"/>
    <x v="2"/>
    <x v="475"/>
    <n v="159"/>
    <n v="7.7"/>
    <s v="Universal"/>
    <n v="123.1"/>
    <n v="342.9"/>
  </r>
  <r>
    <n v="593"/>
    <x v="592"/>
    <x v="31"/>
    <x v="1"/>
    <x v="2"/>
    <x v="104"/>
    <x v="476"/>
    <n v="99.40000000000001"/>
    <n v="8.800000000000001"/>
    <s v="Universal"/>
    <n v="36.3"/>
    <n v="57.5"/>
  </r>
  <r>
    <n v="594"/>
    <x v="593"/>
    <x v="18"/>
    <x v="3"/>
    <x v="1"/>
    <x v="102"/>
    <x v="112"/>
    <n v="13.6"/>
    <n v="6.1"/>
    <s v="Yash Raj Films"/>
    <n v="4.7"/>
    <n v="52.8"/>
  </r>
  <r>
    <n v="595"/>
    <x v="594"/>
    <x v="3"/>
    <x v="5"/>
    <x v="2"/>
    <x v="28"/>
    <x v="477"/>
    <n v="436.4"/>
    <n v="6.4"/>
    <s v="Disney"/>
    <n v="309.5"/>
    <n v="243.9"/>
  </r>
  <r>
    <n v="596"/>
    <x v="595"/>
    <x v="26"/>
    <x v="0"/>
    <x v="2"/>
    <x v="95"/>
    <x v="463"/>
    <n v="31"/>
    <n v="7.6"/>
    <s v="20th Century Fox"/>
    <n v="23.6"/>
    <n v="318.9"/>
  </r>
  <r>
    <n v="597"/>
    <x v="596"/>
    <x v="23"/>
    <x v="6"/>
    <x v="0"/>
    <x v="7"/>
    <x v="385"/>
    <n v="474.5"/>
    <n v="6.4"/>
    <s v="CJ Entertainment"/>
    <n v="333.2"/>
    <n v="235.8"/>
  </r>
  <r>
    <n v="598"/>
    <x v="597"/>
    <x v="3"/>
    <x v="7"/>
    <x v="2"/>
    <x v="15"/>
    <x v="478"/>
    <n v="514.7"/>
    <n v="9.1"/>
    <s v="Universal"/>
    <n v="365.8"/>
    <n v="245.7"/>
  </r>
  <r>
    <n v="599"/>
    <x v="598"/>
    <x v="11"/>
    <x v="8"/>
    <x v="1"/>
    <x v="79"/>
    <x v="342"/>
    <n v="9.199999999999999"/>
    <n v="6.8"/>
    <s v="Aamir Khan Productions"/>
    <n v="0"/>
    <n v="0"/>
  </r>
  <r>
    <n v="600"/>
    <x v="599"/>
    <x v="34"/>
    <x v="7"/>
    <x v="2"/>
    <x v="11"/>
    <x v="479"/>
    <n v="140.5"/>
    <n v="5.3"/>
    <s v="Universal"/>
    <n v="80.09999999999999"/>
    <n v="132.6"/>
  </r>
  <r>
    <n v="601"/>
    <x v="600"/>
    <x v="33"/>
    <x v="1"/>
    <x v="1"/>
    <x v="107"/>
    <x v="480"/>
    <n v="64.5"/>
    <n v="7.3"/>
    <s v="Aamir Khan Productions"/>
    <n v="39.6"/>
    <n v="159"/>
  </r>
  <r>
    <n v="602"/>
    <x v="601"/>
    <x v="32"/>
    <x v="4"/>
    <x v="1"/>
    <x v="26"/>
    <x v="325"/>
    <n v="13"/>
    <n v="8.199999999999999"/>
    <s v="Mythri Movie Makers"/>
    <n v="2.2"/>
    <n v="20.4"/>
  </r>
  <r>
    <n v="603"/>
    <x v="602"/>
    <x v="10"/>
    <x v="6"/>
    <x v="2"/>
    <x v="3"/>
    <x v="481"/>
    <n v="321"/>
    <n v="6.2"/>
    <s v="Warner Bros."/>
    <n v="-13.8"/>
    <n v="-4.1"/>
  </r>
  <r>
    <n v="604"/>
    <x v="603"/>
    <x v="32"/>
    <x v="5"/>
    <x v="1"/>
    <x v="40"/>
    <x v="414"/>
    <n v="13.7"/>
    <n v="5.7"/>
    <s v="Panorama Studios"/>
    <n v="9.199999999999999"/>
    <n v="204.4"/>
  </r>
  <r>
    <n v="605"/>
    <x v="604"/>
    <x v="7"/>
    <x v="5"/>
    <x v="2"/>
    <x v="45"/>
    <x v="482"/>
    <n v="259.2"/>
    <n v="6.3"/>
    <s v="A24"/>
    <n v="79"/>
    <n v="43.8"/>
  </r>
  <r>
    <n v="606"/>
    <x v="605"/>
    <x v="29"/>
    <x v="3"/>
    <x v="1"/>
    <x v="57"/>
    <x v="483"/>
    <n v="5"/>
    <n v="6.8"/>
    <s v="Hombale Films"/>
    <n v="-8.5"/>
    <n v="-63"/>
  </r>
  <r>
    <n v="607"/>
    <x v="606"/>
    <x v="19"/>
    <x v="9"/>
    <x v="5"/>
    <x v="0"/>
    <x v="352"/>
    <n v="288.6"/>
    <n v="8.1"/>
    <s v="20th Century Fox"/>
    <n v="207.3"/>
    <n v="255"/>
  </r>
  <r>
    <n v="608"/>
    <x v="607"/>
    <x v="27"/>
    <x v="3"/>
    <x v="4"/>
    <x v="104"/>
    <x v="231"/>
    <n v="42.9"/>
    <n v="6.8"/>
    <s v="Disney"/>
    <n v="29.1"/>
    <n v="210.9"/>
  </r>
  <r>
    <n v="609"/>
    <x v="608"/>
    <x v="31"/>
    <x v="0"/>
    <x v="2"/>
    <x v="73"/>
    <x v="484"/>
    <n v="89.59999999999999"/>
    <n v="5.3"/>
    <s v="Universal"/>
    <n v="23.3"/>
    <n v="35.1"/>
  </r>
  <r>
    <n v="610"/>
    <x v="609"/>
    <x v="9"/>
    <x v="6"/>
    <x v="2"/>
    <x v="69"/>
    <x v="485"/>
    <n v="38.5"/>
    <n v="7.5"/>
    <s v="Pixar"/>
    <n v="21.7"/>
    <n v="129.2"/>
  </r>
  <r>
    <n v="611"/>
    <x v="610"/>
    <x v="32"/>
    <x v="6"/>
    <x v="2"/>
    <x v="18"/>
    <x v="486"/>
    <n v="155.4"/>
    <n v="6.6"/>
    <s v="Sony Pictures"/>
    <n v="103.5"/>
    <n v="199.4"/>
  </r>
  <r>
    <n v="612"/>
    <x v="611"/>
    <x v="21"/>
    <x v="1"/>
    <x v="1"/>
    <x v="41"/>
    <x v="169"/>
    <n v="8.300000000000001"/>
    <n v="6.8"/>
    <s v="Panorama Studios"/>
    <n v="-4.6"/>
    <n v="-35.7"/>
  </r>
  <r>
    <n v="613"/>
    <x v="612"/>
    <x v="11"/>
    <x v="4"/>
    <x v="2"/>
    <x v="12"/>
    <x v="487"/>
    <n v="199.2"/>
    <n v="9.5"/>
    <s v="Lionsgate"/>
    <n v="143.2"/>
    <n v="255.7"/>
  </r>
  <r>
    <n v="614"/>
    <x v="613"/>
    <x v="12"/>
    <x v="4"/>
    <x v="2"/>
    <x v="13"/>
    <x v="488"/>
    <n v="130"/>
    <n v="6.9"/>
    <s v="20th Century Fox"/>
    <n v="100.4"/>
    <n v="339.2"/>
  </r>
  <r>
    <n v="615"/>
    <x v="614"/>
    <x v="23"/>
    <x v="9"/>
    <x v="1"/>
    <x v="4"/>
    <x v="489"/>
    <n v="23.1"/>
    <n v="7.5"/>
    <s v="Mythri Movie Makers"/>
    <n v="14.3"/>
    <n v="162.5"/>
  </r>
  <r>
    <n v="616"/>
    <x v="615"/>
    <x v="35"/>
    <x v="5"/>
    <x v="2"/>
    <x v="71"/>
    <x v="241"/>
    <n v="128.6"/>
    <n v="6.2"/>
    <s v="Lionsgate"/>
    <n v="95.5"/>
    <n v="288.5"/>
  </r>
  <r>
    <n v="617"/>
    <x v="616"/>
    <x v="6"/>
    <x v="2"/>
    <x v="2"/>
    <x v="72"/>
    <x v="490"/>
    <n v="530.6"/>
    <n v="7.4"/>
    <s v="Warner Bros."/>
    <n v="385.4"/>
    <n v="265.4"/>
  </r>
  <r>
    <n v="618"/>
    <x v="617"/>
    <x v="26"/>
    <x v="8"/>
    <x v="2"/>
    <x v="23"/>
    <x v="252"/>
    <n v="38.2"/>
    <n v="7"/>
    <s v="Disney"/>
    <n v="-19.3"/>
    <n v="-33.6"/>
  </r>
  <r>
    <n v="619"/>
    <x v="618"/>
    <x v="27"/>
    <x v="3"/>
    <x v="2"/>
    <x v="7"/>
    <x v="80"/>
    <n v="192.9"/>
    <n v="6.4"/>
    <s v="Sony Pictures"/>
    <n v="90.3"/>
    <n v="88"/>
  </r>
  <r>
    <n v="620"/>
    <x v="619"/>
    <x v="32"/>
    <x v="8"/>
    <x v="0"/>
    <x v="33"/>
    <x v="491"/>
    <n v="427.9"/>
    <n v="8.199999999999999"/>
    <s v="CJ Entertainment"/>
    <n v="276.8"/>
    <n v="183.2"/>
  </r>
  <r>
    <n v="621"/>
    <x v="620"/>
    <x v="15"/>
    <x v="9"/>
    <x v="2"/>
    <x v="14"/>
    <x v="492"/>
    <n v="273.6"/>
    <n v="7.1"/>
    <s v="Warner Bros."/>
    <n v="187.8"/>
    <n v="218.9"/>
  </r>
  <r>
    <n v="622"/>
    <x v="621"/>
    <x v="22"/>
    <x v="7"/>
    <x v="2"/>
    <x v="108"/>
    <x v="493"/>
    <n v="51.3"/>
    <n v="8.199999999999999"/>
    <s v="Pixar"/>
    <n v="24.8"/>
    <n v="93.59999999999999"/>
  </r>
  <r>
    <n v="623"/>
    <x v="622"/>
    <x v="1"/>
    <x v="5"/>
    <x v="2"/>
    <x v="109"/>
    <x v="494"/>
    <n v="413.6"/>
    <n v="8.699999999999999"/>
    <s v="Lionsgate"/>
    <n v="240.9"/>
    <n v="139.5"/>
  </r>
  <r>
    <n v="624"/>
    <x v="623"/>
    <x v="27"/>
    <x v="1"/>
    <x v="2"/>
    <x v="46"/>
    <x v="495"/>
    <n v="248.3"/>
    <n v="6"/>
    <s v="Universal"/>
    <n v="200"/>
    <n v="414.1"/>
  </r>
  <r>
    <n v="625"/>
    <x v="624"/>
    <x v="0"/>
    <x v="3"/>
    <x v="2"/>
    <x v="84"/>
    <x v="496"/>
    <n v="420.8"/>
    <n v="7"/>
    <s v="Sony Pictures"/>
    <n v="336.9"/>
    <n v="401.5"/>
  </r>
  <r>
    <n v="626"/>
    <x v="625"/>
    <x v="2"/>
    <x v="1"/>
    <x v="0"/>
    <x v="72"/>
    <x v="497"/>
    <n v="37"/>
    <n v="6.8"/>
    <s v="CJ Entertainment"/>
    <n v="3.1"/>
    <n v="9.1"/>
  </r>
  <r>
    <n v="627"/>
    <x v="626"/>
    <x v="22"/>
    <x v="5"/>
    <x v="1"/>
    <x v="62"/>
    <x v="498"/>
    <n v="64.3"/>
    <n v="7.7"/>
    <s v="Mythri Movie Makers"/>
    <n v="32.9"/>
    <n v="104.8"/>
  </r>
  <r>
    <n v="628"/>
    <x v="627"/>
    <x v="4"/>
    <x v="5"/>
    <x v="1"/>
    <x v="91"/>
    <x v="499"/>
    <n v="12.6"/>
    <n v="8"/>
    <s v="Aamir Khan Productions"/>
    <n v="8.4"/>
    <n v="200"/>
  </r>
  <r>
    <n v="629"/>
    <x v="628"/>
    <x v="11"/>
    <x v="0"/>
    <x v="3"/>
    <x v="79"/>
    <x v="500"/>
    <n v="258.6"/>
    <n v="7.7"/>
    <s v="Lionsgate"/>
    <n v="194.2"/>
    <n v="301.6"/>
  </r>
  <r>
    <n v="630"/>
    <x v="629"/>
    <x v="8"/>
    <x v="3"/>
    <x v="0"/>
    <x v="40"/>
    <x v="501"/>
    <n v="102.6"/>
    <n v="5.4"/>
    <s v="CJ Entertainment"/>
    <n v="58.2"/>
    <n v="131.1"/>
  </r>
  <r>
    <n v="631"/>
    <x v="630"/>
    <x v="27"/>
    <x v="3"/>
    <x v="0"/>
    <x v="43"/>
    <x v="502"/>
    <n v="412.1"/>
    <n v="7.5"/>
    <s v="CJ Entertainment"/>
    <n v="323.5"/>
    <n v="365.1"/>
  </r>
  <r>
    <n v="632"/>
    <x v="631"/>
    <x v="8"/>
    <x v="0"/>
    <x v="1"/>
    <x v="12"/>
    <x v="57"/>
    <n v="45.3"/>
    <n v="7"/>
    <s v="Aamir Khan Productions"/>
    <n v="25.6"/>
    <n v="129.9"/>
  </r>
  <r>
    <n v="633"/>
    <x v="632"/>
    <x v="26"/>
    <x v="4"/>
    <x v="2"/>
    <x v="3"/>
    <x v="503"/>
    <n v="52.2"/>
    <n v="6.2"/>
    <s v="Sony Pictures"/>
    <n v="35.8"/>
    <n v="218.3"/>
  </r>
  <r>
    <n v="634"/>
    <x v="633"/>
    <x v="10"/>
    <x v="4"/>
    <x v="7"/>
    <x v="42"/>
    <x v="504"/>
    <n v="76.8"/>
    <n v="6.9"/>
    <s v="Universal"/>
    <n v="18.9"/>
    <n v="32.6"/>
  </r>
  <r>
    <n v="635"/>
    <x v="634"/>
    <x v="24"/>
    <x v="6"/>
    <x v="2"/>
    <x v="53"/>
    <x v="505"/>
    <n v="64.7"/>
    <n v="6.9"/>
    <s v="Paramount"/>
    <n v="39"/>
    <n v="151.8"/>
  </r>
  <r>
    <n v="636"/>
    <x v="635"/>
    <x v="19"/>
    <x v="6"/>
    <x v="5"/>
    <x v="83"/>
    <x v="506"/>
    <n v="105.7"/>
    <n v="7.8"/>
    <s v="Lionsgate"/>
    <n v="77"/>
    <n v="268.3"/>
  </r>
  <r>
    <n v="637"/>
    <x v="636"/>
    <x v="35"/>
    <x v="7"/>
    <x v="1"/>
    <x v="100"/>
    <x v="507"/>
    <n v="4.8"/>
    <n v="7.4"/>
    <s v="Panorama Studios"/>
    <n v="2"/>
    <n v="71.40000000000001"/>
  </r>
  <r>
    <n v="638"/>
    <x v="637"/>
    <x v="6"/>
    <x v="4"/>
    <x v="1"/>
    <x v="52"/>
    <x v="216"/>
    <n v="46.4"/>
    <n v="7.9"/>
    <s v="Panorama Studios"/>
    <n v="12.3"/>
    <n v="36.1"/>
  </r>
  <r>
    <n v="639"/>
    <x v="638"/>
    <x v="0"/>
    <x v="6"/>
    <x v="2"/>
    <x v="0"/>
    <x v="462"/>
    <n v="72.5"/>
    <n v="6.1"/>
    <s v="Marvel"/>
    <n v="20.8"/>
    <n v="40.2"/>
  </r>
  <r>
    <n v="640"/>
    <x v="639"/>
    <x v="18"/>
    <x v="8"/>
    <x v="2"/>
    <x v="74"/>
    <x v="508"/>
    <n v="294.9"/>
    <n v="6.3"/>
    <s v="Pixar"/>
    <n v="56.8"/>
    <n v="23.9"/>
  </r>
  <r>
    <n v="641"/>
    <x v="640"/>
    <x v="21"/>
    <x v="4"/>
    <x v="1"/>
    <x v="61"/>
    <x v="141"/>
    <n v="13.6"/>
    <n v="6.7"/>
    <s v="Panorama Studios"/>
    <n v="4"/>
    <n v="41.7"/>
  </r>
  <r>
    <n v="642"/>
    <x v="641"/>
    <x v="11"/>
    <x v="3"/>
    <x v="2"/>
    <x v="4"/>
    <x v="509"/>
    <n v="32.7"/>
    <n v="8.699999999999999"/>
    <s v="Disney"/>
    <n v="5.8"/>
    <n v="21.6"/>
  </r>
  <r>
    <n v="643"/>
    <x v="642"/>
    <x v="7"/>
    <x v="7"/>
    <x v="2"/>
    <x v="102"/>
    <x v="510"/>
    <n v="154.3"/>
    <n v="6.5"/>
    <s v="Pixar"/>
    <n v="121.5"/>
    <n v="370.4"/>
  </r>
  <r>
    <n v="644"/>
    <x v="643"/>
    <x v="12"/>
    <x v="7"/>
    <x v="2"/>
    <x v="46"/>
    <x v="511"/>
    <n v="188.7"/>
    <n v="7.1"/>
    <s v="Sony Pictures"/>
    <n v="115"/>
    <n v="156"/>
  </r>
  <r>
    <n v="645"/>
    <x v="644"/>
    <x v="16"/>
    <x v="6"/>
    <x v="2"/>
    <x v="97"/>
    <x v="512"/>
    <n v="64.5"/>
    <n v="8"/>
    <s v="Sony Pictures"/>
    <n v="-45"/>
    <n v="-41.1"/>
  </r>
  <r>
    <n v="646"/>
    <x v="645"/>
    <x v="32"/>
    <x v="5"/>
    <x v="6"/>
    <x v="8"/>
    <x v="513"/>
    <n v="441"/>
    <n v="8.300000000000001"/>
    <s v="Universal"/>
    <n v="219.4"/>
    <n v="99"/>
  </r>
  <r>
    <n v="647"/>
    <x v="646"/>
    <x v="1"/>
    <x v="1"/>
    <x v="2"/>
    <x v="21"/>
    <x v="514"/>
    <n v="38.4"/>
    <n v="7.5"/>
    <s v="Sony Pictures"/>
    <n v="20.6"/>
    <n v="115.7"/>
  </r>
  <r>
    <n v="648"/>
    <x v="647"/>
    <x v="16"/>
    <x v="0"/>
    <x v="6"/>
    <x v="99"/>
    <x v="515"/>
    <n v="193"/>
    <n v="6.6"/>
    <s v="Disney"/>
    <n v="1.3"/>
    <n v="0.7"/>
  </r>
  <r>
    <n v="649"/>
    <x v="648"/>
    <x v="4"/>
    <x v="8"/>
    <x v="1"/>
    <x v="15"/>
    <x v="516"/>
    <n v="16.9"/>
    <n v="6.7"/>
    <s v="Yash Raj Films"/>
    <n v="4.8"/>
    <n v="39.7"/>
  </r>
  <r>
    <n v="650"/>
    <x v="649"/>
    <x v="35"/>
    <x v="0"/>
    <x v="1"/>
    <x v="108"/>
    <x v="133"/>
    <n v="3.6"/>
    <n v="5.3"/>
    <s v="Aamir Khan Productions"/>
    <n v="-3"/>
    <n v="-45.5"/>
  </r>
  <r>
    <n v="651"/>
    <x v="650"/>
    <x v="15"/>
    <x v="1"/>
    <x v="1"/>
    <x v="73"/>
    <x v="59"/>
    <n v="1.6"/>
    <n v="5.8"/>
    <s v="Yash Raj Films"/>
    <n v="0.1"/>
    <n v="6.7"/>
  </r>
  <r>
    <n v="652"/>
    <x v="651"/>
    <x v="6"/>
    <x v="4"/>
    <x v="2"/>
    <x v="34"/>
    <x v="517"/>
    <n v="579.9"/>
    <n v="6.7"/>
    <s v="Sony Pictures"/>
    <n v="469.5"/>
    <n v="425.3"/>
  </r>
  <r>
    <n v="653"/>
    <x v="652"/>
    <x v="13"/>
    <x v="1"/>
    <x v="6"/>
    <x v="38"/>
    <x v="178"/>
    <n v="163.5"/>
    <n v="6.1"/>
    <s v="20th Century Fox"/>
    <n v="127.7"/>
    <n v="356.7"/>
  </r>
  <r>
    <n v="654"/>
    <x v="653"/>
    <x v="33"/>
    <x v="6"/>
    <x v="2"/>
    <x v="71"/>
    <x v="202"/>
    <n v="113.8"/>
    <n v="7"/>
    <s v="20th Century Fox"/>
    <n v="86.8"/>
    <n v="321.5"/>
  </r>
  <r>
    <n v="655"/>
    <x v="654"/>
    <x v="1"/>
    <x v="4"/>
    <x v="1"/>
    <x v="32"/>
    <x v="518"/>
    <n v="33.9"/>
    <n v="7.6"/>
    <s v="Aamir Khan Productions"/>
    <n v="23.2"/>
    <n v="216.8"/>
  </r>
  <r>
    <n v="656"/>
    <x v="655"/>
    <x v="32"/>
    <x v="9"/>
    <x v="0"/>
    <x v="71"/>
    <x v="519"/>
    <n v="68.59999999999999"/>
    <n v="7.8"/>
    <s v="CJ Entertainment"/>
    <n v="43.3"/>
    <n v="171.1"/>
  </r>
  <r>
    <n v="657"/>
    <x v="656"/>
    <x v="25"/>
    <x v="2"/>
    <x v="2"/>
    <x v="42"/>
    <x v="520"/>
    <n v="18.3"/>
    <n v="5.9"/>
    <s v="Marvel"/>
    <n v="-13.7"/>
    <n v="-42.8"/>
  </r>
  <r>
    <n v="658"/>
    <x v="657"/>
    <x v="10"/>
    <x v="5"/>
    <x v="1"/>
    <x v="68"/>
    <x v="489"/>
    <n v="8"/>
    <n v="7.2"/>
    <s v="Yash Raj Films"/>
    <n v="-0.8"/>
    <n v="-9.1"/>
  </r>
  <r>
    <n v="659"/>
    <x v="658"/>
    <x v="24"/>
    <x v="7"/>
    <x v="1"/>
    <x v="53"/>
    <x v="298"/>
    <n v="123.8"/>
    <n v="8.199999999999999"/>
    <s v="Mythri Movie Makers"/>
    <n v="97.09999999999999"/>
    <n v="363.7"/>
  </r>
  <r>
    <n v="660"/>
    <x v="659"/>
    <x v="26"/>
    <x v="3"/>
    <x v="3"/>
    <x v="46"/>
    <x v="456"/>
    <n v="174"/>
    <n v="7.2"/>
    <s v="20th Century Fox"/>
    <n v="112.7"/>
    <n v="183.8"/>
  </r>
  <r>
    <n v="661"/>
    <x v="660"/>
    <x v="28"/>
    <x v="3"/>
    <x v="0"/>
    <x v="26"/>
    <x v="248"/>
    <n v="420.4"/>
    <n v="6.7"/>
    <s v="CJ Entertainment"/>
    <n v="319"/>
    <n v="314.6"/>
  </r>
  <r>
    <n v="662"/>
    <x v="661"/>
    <x v="5"/>
    <x v="0"/>
    <x v="1"/>
    <x v="46"/>
    <x v="521"/>
    <n v="23"/>
    <n v="5.7"/>
    <s v="Hombale Films"/>
    <n v="15.8"/>
    <n v="219.4"/>
  </r>
  <r>
    <n v="663"/>
    <x v="662"/>
    <x v="30"/>
    <x v="4"/>
    <x v="2"/>
    <x v="6"/>
    <x v="522"/>
    <n v="281.8"/>
    <n v="5.3"/>
    <s v="A24"/>
    <n v="211.1"/>
    <n v="298.6"/>
  </r>
  <r>
    <n v="664"/>
    <x v="663"/>
    <x v="20"/>
    <x v="6"/>
    <x v="2"/>
    <x v="110"/>
    <x v="523"/>
    <n v="81.8"/>
    <n v="7.1"/>
    <s v="Lionsgate"/>
    <n v="55.2"/>
    <n v="207.5"/>
  </r>
  <r>
    <n v="665"/>
    <x v="664"/>
    <x v="25"/>
    <x v="7"/>
    <x v="1"/>
    <x v="51"/>
    <x v="524"/>
    <n v="58.4"/>
    <n v="7.4"/>
    <s v="Yash Raj Films"/>
    <n v="38.3"/>
    <n v="190.5"/>
  </r>
  <r>
    <n v="666"/>
    <x v="665"/>
    <x v="20"/>
    <x v="4"/>
    <x v="2"/>
    <x v="45"/>
    <x v="525"/>
    <n v="273.1"/>
    <n v="8.1"/>
    <s v="Sony Pictures"/>
    <n v="204.9"/>
    <n v="300.4"/>
  </r>
  <r>
    <n v="667"/>
    <x v="666"/>
    <x v="24"/>
    <x v="3"/>
    <x v="2"/>
    <x v="15"/>
    <x v="526"/>
    <n v="213.9"/>
    <n v="7.5"/>
    <s v="Lionsgate"/>
    <n v="166"/>
    <n v="346.6"/>
  </r>
  <r>
    <n v="668"/>
    <x v="667"/>
    <x v="12"/>
    <x v="2"/>
    <x v="6"/>
    <x v="73"/>
    <x v="527"/>
    <n v="557.7"/>
    <n v="6.2"/>
    <s v="Paramount"/>
    <n v="440.9"/>
    <n v="377.5"/>
  </r>
  <r>
    <n v="669"/>
    <x v="668"/>
    <x v="18"/>
    <x v="7"/>
    <x v="1"/>
    <x v="72"/>
    <x v="528"/>
    <n v="23.5"/>
    <n v="7.1"/>
    <s v="Yash Raj Films"/>
    <n v="17.1"/>
    <n v="267.2"/>
  </r>
  <r>
    <n v="670"/>
    <x v="669"/>
    <x v="22"/>
    <x v="0"/>
    <x v="2"/>
    <x v="80"/>
    <x v="529"/>
    <n v="247.6"/>
    <n v="5.1"/>
    <s v="Warner Bros."/>
    <n v="156.3"/>
    <n v="171.2"/>
  </r>
  <r>
    <n v="671"/>
    <x v="670"/>
    <x v="12"/>
    <x v="5"/>
    <x v="2"/>
    <x v="79"/>
    <x v="530"/>
    <n v="261.9"/>
    <n v="9.5"/>
    <s v="Warner Bros."/>
    <n v="106"/>
    <n v="68"/>
  </r>
  <r>
    <n v="672"/>
    <x v="671"/>
    <x v="23"/>
    <x v="8"/>
    <x v="1"/>
    <x v="12"/>
    <x v="60"/>
    <n v="26.5"/>
    <n v="6.7"/>
    <s v="Hombale Films"/>
    <n v="16.7"/>
    <n v="170.4"/>
  </r>
  <r>
    <n v="673"/>
    <x v="672"/>
    <x v="23"/>
    <x v="5"/>
    <x v="2"/>
    <x v="41"/>
    <x v="531"/>
    <n v="144.3"/>
    <n v="5.3"/>
    <s v="Warner Bros."/>
    <n v="85.59999999999999"/>
    <n v="145.8"/>
  </r>
  <r>
    <n v="674"/>
    <x v="673"/>
    <x v="1"/>
    <x v="2"/>
    <x v="2"/>
    <x v="6"/>
    <x v="532"/>
    <n v="117.1"/>
    <n v="5.9"/>
    <s v="Warner Bros."/>
    <n v="52.6"/>
    <n v="81.59999999999999"/>
  </r>
  <r>
    <n v="675"/>
    <x v="674"/>
    <x v="22"/>
    <x v="0"/>
    <x v="1"/>
    <x v="94"/>
    <x v="144"/>
    <n v="27.3"/>
    <n v="6.1"/>
    <s v="Yash Raj Films"/>
    <n v="16.1"/>
    <n v="143.8"/>
  </r>
  <r>
    <n v="676"/>
    <x v="675"/>
    <x v="29"/>
    <x v="6"/>
    <x v="2"/>
    <x v="111"/>
    <x v="471"/>
    <n v="38.8"/>
    <n v="6.8"/>
    <s v="Lionsgate"/>
    <n v="14.4"/>
    <n v="59"/>
  </r>
  <r>
    <n v="677"/>
    <x v="676"/>
    <x v="9"/>
    <x v="0"/>
    <x v="2"/>
    <x v="41"/>
    <x v="533"/>
    <n v="313.4"/>
    <n v="5.6"/>
    <s v="Lionsgate"/>
    <n v="235.5"/>
    <n v="302.3"/>
  </r>
  <r>
    <n v="678"/>
    <x v="677"/>
    <x v="15"/>
    <x v="4"/>
    <x v="2"/>
    <x v="62"/>
    <x v="534"/>
    <n v="90.59999999999999"/>
    <n v="6"/>
    <s v="A24"/>
    <n v="-34.1"/>
    <n v="-27.3"/>
  </r>
  <r>
    <n v="679"/>
    <x v="678"/>
    <x v="2"/>
    <x v="3"/>
    <x v="7"/>
    <x v="7"/>
    <x v="535"/>
    <n v="112"/>
    <n v="7.4"/>
    <s v="20th Century Fox"/>
    <n v="80.09999999999999"/>
    <n v="251.1"/>
  </r>
  <r>
    <n v="680"/>
    <x v="679"/>
    <x v="15"/>
    <x v="9"/>
    <x v="3"/>
    <x v="15"/>
    <x v="536"/>
    <n v="49.2"/>
    <n v="9.199999999999999"/>
    <s v="Marvel"/>
    <n v="35.3"/>
    <n v="254"/>
  </r>
  <r>
    <n v="681"/>
    <x v="680"/>
    <x v="21"/>
    <x v="7"/>
    <x v="1"/>
    <x v="41"/>
    <x v="268"/>
    <n v="42.7"/>
    <n v="7.6"/>
    <s v="Mythri Movie Makers"/>
    <n v="33.6"/>
    <n v="369.2"/>
  </r>
  <r>
    <n v="682"/>
    <x v="681"/>
    <x v="17"/>
    <x v="3"/>
    <x v="2"/>
    <x v="80"/>
    <x v="143"/>
    <n v="531.1"/>
    <n v="6.4"/>
    <s v="20th Century Fox"/>
    <n v="425.3"/>
    <n v="402"/>
  </r>
  <r>
    <n v="683"/>
    <x v="682"/>
    <x v="10"/>
    <x v="4"/>
    <x v="1"/>
    <x v="37"/>
    <x v="537"/>
    <n v="25.9"/>
    <n v="5.9"/>
    <s v="Panorama Studios"/>
    <n v="15.9"/>
    <n v="159"/>
  </r>
  <r>
    <n v="684"/>
    <x v="683"/>
    <x v="21"/>
    <x v="1"/>
    <x v="2"/>
    <x v="31"/>
    <x v="538"/>
    <n v="156"/>
    <n v="8"/>
    <s v="Marvel"/>
    <n v="81.40000000000001"/>
    <n v="109.1"/>
  </r>
  <r>
    <n v="685"/>
    <x v="684"/>
    <x v="8"/>
    <x v="1"/>
    <x v="2"/>
    <x v="53"/>
    <x v="539"/>
    <n v="55"/>
    <n v="6.9"/>
    <s v="20th Century Fox"/>
    <n v="21.5"/>
    <n v="64.2"/>
  </r>
  <r>
    <n v="686"/>
    <x v="685"/>
    <x v="13"/>
    <x v="6"/>
    <x v="5"/>
    <x v="21"/>
    <x v="437"/>
    <n v="176.8"/>
    <n v="6.5"/>
    <s v="Sony Pictures"/>
    <n v="131"/>
    <n v="286"/>
  </r>
  <r>
    <n v="687"/>
    <x v="686"/>
    <x v="2"/>
    <x v="1"/>
    <x v="2"/>
    <x v="7"/>
    <x v="29"/>
    <n v="94"/>
    <n v="6.2"/>
    <s v="Paramount"/>
    <n v="-10.7"/>
    <n v="-10.2"/>
  </r>
  <r>
    <n v="688"/>
    <x v="687"/>
    <x v="13"/>
    <x v="6"/>
    <x v="7"/>
    <x v="97"/>
    <x v="540"/>
    <n v="115.2"/>
    <n v="7.6"/>
    <s v="Universal"/>
    <n v="7.7"/>
    <n v="7.2"/>
  </r>
  <r>
    <n v="689"/>
    <x v="688"/>
    <x v="15"/>
    <x v="3"/>
    <x v="7"/>
    <x v="39"/>
    <x v="263"/>
    <n v="176.3"/>
    <n v="6.6"/>
    <s v="20th Century Fox"/>
    <n v="123.4"/>
    <n v="233.3"/>
  </r>
  <r>
    <n v="690"/>
    <x v="689"/>
    <x v="31"/>
    <x v="4"/>
    <x v="2"/>
    <x v="60"/>
    <x v="541"/>
    <n v="76.7"/>
    <n v="5.4"/>
    <s v="Lionsgate"/>
    <n v="46.3"/>
    <n v="152.3"/>
  </r>
  <r>
    <n v="691"/>
    <x v="690"/>
    <x v="4"/>
    <x v="8"/>
    <x v="2"/>
    <x v="42"/>
    <x v="542"/>
    <n v="448"/>
    <n v="6.7"/>
    <s v="Lionsgate"/>
    <n v="203.5"/>
    <n v="83.2"/>
  </r>
  <r>
    <n v="692"/>
    <x v="691"/>
    <x v="22"/>
    <x v="6"/>
    <x v="2"/>
    <x v="68"/>
    <x v="543"/>
    <n v="90.59999999999999"/>
    <n v="7.6"/>
    <s v="Disney"/>
    <n v="39.6"/>
    <n v="77.59999999999999"/>
  </r>
  <r>
    <n v="693"/>
    <x v="692"/>
    <x v="27"/>
    <x v="9"/>
    <x v="2"/>
    <x v="41"/>
    <x v="544"/>
    <n v="292.8"/>
    <n v="6.9"/>
    <s v="Paramount"/>
    <n v="152.5"/>
    <n v="108.7"/>
  </r>
  <r>
    <n v="694"/>
    <x v="693"/>
    <x v="19"/>
    <x v="3"/>
    <x v="1"/>
    <x v="49"/>
    <x v="499"/>
    <n v="14.8"/>
    <n v="8.300000000000001"/>
    <s v="Aamir Khan Productions"/>
    <n v="10.6"/>
    <n v="252.4"/>
  </r>
  <r>
    <n v="695"/>
    <x v="694"/>
    <x v="19"/>
    <x v="4"/>
    <x v="4"/>
    <x v="31"/>
    <x v="122"/>
    <n v="71.3"/>
    <n v="7.3"/>
    <s v="Sony Pictures"/>
    <n v="23.3"/>
    <n v="48.5"/>
  </r>
  <r>
    <n v="696"/>
    <x v="695"/>
    <x v="23"/>
    <x v="3"/>
    <x v="2"/>
    <x v="51"/>
    <x v="287"/>
    <n v="63.1"/>
    <n v="7.2"/>
    <s v="A24"/>
    <n v="28.8"/>
    <n v="84"/>
  </r>
  <r>
    <n v="697"/>
    <x v="696"/>
    <x v="4"/>
    <x v="9"/>
    <x v="1"/>
    <x v="65"/>
    <x v="545"/>
    <n v="50.2"/>
    <n v="6.3"/>
    <s v="Aamir Khan Productions"/>
    <n v="24.1"/>
    <n v="92.3"/>
  </r>
  <r>
    <n v="698"/>
    <x v="697"/>
    <x v="10"/>
    <x v="5"/>
    <x v="2"/>
    <x v="10"/>
    <x v="353"/>
    <n v="89.5"/>
    <n v="8.300000000000001"/>
    <s v="Disney"/>
    <n v="46.6"/>
    <n v="108.6"/>
  </r>
  <r>
    <n v="699"/>
    <x v="698"/>
    <x v="23"/>
    <x v="3"/>
    <x v="2"/>
    <x v="41"/>
    <x v="237"/>
    <n v="522.4"/>
    <n v="6.1"/>
    <s v="Warner Bros."/>
    <n v="384.7"/>
    <n v="279.4"/>
  </r>
  <r>
    <n v="700"/>
    <x v="699"/>
    <x v="0"/>
    <x v="1"/>
    <x v="2"/>
    <x v="77"/>
    <x v="546"/>
    <n v="205.7"/>
    <n v="6.8"/>
    <s v="Paramount"/>
    <n v="136.5"/>
    <n v="197.3"/>
  </r>
  <r>
    <n v="701"/>
    <x v="700"/>
    <x v="26"/>
    <x v="3"/>
    <x v="2"/>
    <x v="23"/>
    <x v="518"/>
    <n v="7.4"/>
    <n v="7.7"/>
    <s v="A24"/>
    <n v="-3.3"/>
    <n v="-30.8"/>
  </r>
  <r>
    <n v="702"/>
    <x v="701"/>
    <x v="15"/>
    <x v="3"/>
    <x v="2"/>
    <x v="98"/>
    <x v="547"/>
    <n v="100.7"/>
    <n v="5.9"/>
    <s v="Warner Bros."/>
    <n v="43.6"/>
    <n v="76.40000000000001"/>
  </r>
  <r>
    <n v="703"/>
    <x v="702"/>
    <x v="7"/>
    <x v="6"/>
    <x v="7"/>
    <x v="70"/>
    <x v="304"/>
    <n v="224.9"/>
    <n v="8.5"/>
    <s v="Universal"/>
    <n v="174"/>
    <n v="341.8"/>
  </r>
  <r>
    <n v="704"/>
    <x v="703"/>
    <x v="33"/>
    <x v="3"/>
    <x v="2"/>
    <x v="6"/>
    <x v="445"/>
    <n v="64.2"/>
    <n v="8.9"/>
    <s v="20th Century Fox"/>
    <n v="50.8"/>
    <n v="379.1"/>
  </r>
  <r>
    <n v="705"/>
    <x v="704"/>
    <x v="28"/>
    <x v="7"/>
    <x v="1"/>
    <x v="46"/>
    <x v="463"/>
    <n v="23"/>
    <n v="6.5"/>
    <s v="Panorama Studios"/>
    <n v="15.6"/>
    <n v="210.8"/>
  </r>
  <r>
    <n v="706"/>
    <x v="705"/>
    <x v="33"/>
    <x v="1"/>
    <x v="2"/>
    <x v="42"/>
    <x v="548"/>
    <n v="237.9"/>
    <n v="7.9"/>
    <s v="Pixar"/>
    <n v="160.5"/>
    <n v="207.4"/>
  </r>
  <r>
    <n v="707"/>
    <x v="706"/>
    <x v="22"/>
    <x v="6"/>
    <x v="5"/>
    <x v="72"/>
    <x v="246"/>
    <n v="14.8"/>
    <n v="8.5"/>
    <s v="20th Century Fox"/>
    <n v="-3.5"/>
    <n v="-19.1"/>
  </r>
  <r>
    <n v="708"/>
    <x v="707"/>
    <x v="14"/>
    <x v="2"/>
    <x v="2"/>
    <x v="17"/>
    <x v="194"/>
    <n v="578.6"/>
    <n v="6.9"/>
    <s v="A24"/>
    <n v="427.8"/>
    <n v="283.7"/>
  </r>
  <r>
    <n v="709"/>
    <x v="708"/>
    <x v="0"/>
    <x v="1"/>
    <x v="3"/>
    <x v="32"/>
    <x v="549"/>
    <n v="45.3"/>
    <n v="7.9"/>
    <s v="Sony Pictures"/>
    <n v="-20.7"/>
    <n v="-31.4"/>
  </r>
  <r>
    <n v="710"/>
    <x v="709"/>
    <x v="14"/>
    <x v="3"/>
    <x v="2"/>
    <x v="21"/>
    <x v="44"/>
    <n v="203.6"/>
    <n v="7.7"/>
    <s v="Pixar"/>
    <n v="82.90000000000001"/>
    <n v="68.7"/>
  </r>
  <r>
    <n v="711"/>
    <x v="710"/>
    <x v="7"/>
    <x v="9"/>
    <x v="1"/>
    <x v="18"/>
    <x v="266"/>
    <n v="7.6"/>
    <n v="8.5"/>
    <s v="Panorama Studios"/>
    <n v="3.9"/>
    <n v="105.4"/>
  </r>
  <r>
    <n v="712"/>
    <x v="711"/>
    <x v="20"/>
    <x v="1"/>
    <x v="2"/>
    <x v="35"/>
    <x v="550"/>
    <n v="698.7"/>
    <n v="9.199999999999999"/>
    <s v="Sony Pictures"/>
    <n v="565.5"/>
    <n v="424.5"/>
  </r>
  <r>
    <n v="713"/>
    <x v="712"/>
    <x v="6"/>
    <x v="3"/>
    <x v="0"/>
    <x v="94"/>
    <x v="551"/>
    <n v="176.6"/>
    <n v="7.5"/>
    <s v="CJ Entertainment"/>
    <n v="138.3"/>
    <n v="361.1"/>
  </r>
  <r>
    <n v="714"/>
    <x v="713"/>
    <x v="17"/>
    <x v="0"/>
    <x v="7"/>
    <x v="19"/>
    <x v="552"/>
    <n v="203.1"/>
    <n v="7.7"/>
    <s v="Warner Bros."/>
    <n v="139"/>
    <n v="216.8"/>
  </r>
  <r>
    <n v="715"/>
    <x v="714"/>
    <x v="23"/>
    <x v="3"/>
    <x v="0"/>
    <x v="16"/>
    <x v="553"/>
    <n v="160.5"/>
    <n v="8.199999999999999"/>
    <s v="CJ Entertainment"/>
    <n v="106.3"/>
    <n v="196.1"/>
  </r>
  <r>
    <n v="716"/>
    <x v="715"/>
    <x v="14"/>
    <x v="3"/>
    <x v="2"/>
    <x v="6"/>
    <x v="554"/>
    <n v="248.4"/>
    <n v="8.4"/>
    <s v="Paramount"/>
    <n v="130.2"/>
    <n v="110.2"/>
  </r>
  <r>
    <n v="717"/>
    <x v="716"/>
    <x v="35"/>
    <x v="2"/>
    <x v="2"/>
    <x v="51"/>
    <x v="555"/>
    <n v="80.09999999999999"/>
    <n v="6.9"/>
    <s v="Marvel"/>
    <n v="16.5"/>
    <n v="25.9"/>
  </r>
  <r>
    <n v="718"/>
    <x v="717"/>
    <x v="31"/>
    <x v="9"/>
    <x v="2"/>
    <x v="57"/>
    <x v="556"/>
    <n v="233"/>
    <n v="7"/>
    <s v="Universal"/>
    <n v="99.5"/>
    <n v="74.5"/>
  </r>
  <r>
    <n v="719"/>
    <x v="718"/>
    <x v="31"/>
    <x v="0"/>
    <x v="1"/>
    <x v="35"/>
    <x v="60"/>
    <n v="11.5"/>
    <n v="5.6"/>
    <s v="Hombale Films"/>
    <n v="1.7"/>
    <n v="17.3"/>
  </r>
  <r>
    <n v="720"/>
    <x v="719"/>
    <x v="35"/>
    <x v="6"/>
    <x v="2"/>
    <x v="58"/>
    <x v="557"/>
    <n v="219.1"/>
    <n v="7.5"/>
    <s v="Warner Bros."/>
    <n v="131.8"/>
    <n v="151"/>
  </r>
  <r>
    <n v="721"/>
    <x v="720"/>
    <x v="12"/>
    <x v="5"/>
    <x v="2"/>
    <x v="68"/>
    <x v="558"/>
    <n v="52.7"/>
    <n v="6.6"/>
    <s v="Pixar"/>
    <n v="9.9"/>
    <n v="23.1"/>
  </r>
  <r>
    <n v="722"/>
    <x v="721"/>
    <x v="12"/>
    <x v="8"/>
    <x v="3"/>
    <x v="1"/>
    <x v="559"/>
    <n v="258.9"/>
    <n v="8.199999999999999"/>
    <s v="A24"/>
    <n v="183.9"/>
    <n v="245.2"/>
  </r>
  <r>
    <n v="723"/>
    <x v="722"/>
    <x v="13"/>
    <x v="9"/>
    <x v="2"/>
    <x v="46"/>
    <x v="509"/>
    <n v="87.40000000000001"/>
    <n v="9.1"/>
    <s v="Pixar"/>
    <n v="60.5"/>
    <n v="224.9"/>
  </r>
  <r>
    <n v="724"/>
    <x v="723"/>
    <x v="32"/>
    <x v="5"/>
    <x v="1"/>
    <x v="23"/>
    <x v="212"/>
    <n v="22.6"/>
    <n v="6.3"/>
    <s v="Hombale Films"/>
    <n v="9.5"/>
    <n v="72.5"/>
  </r>
  <r>
    <n v="725"/>
    <x v="724"/>
    <x v="18"/>
    <x v="5"/>
    <x v="1"/>
    <x v="69"/>
    <x v="516"/>
    <n v="29.6"/>
    <n v="6.3"/>
    <s v="Panorama Studios"/>
    <n v="17.5"/>
    <n v="144.6"/>
  </r>
  <r>
    <n v="726"/>
    <x v="725"/>
    <x v="0"/>
    <x v="9"/>
    <x v="4"/>
    <x v="16"/>
    <x v="560"/>
    <n v="239.1"/>
    <n v="6.3"/>
    <s v="Pixar"/>
    <n v="11"/>
    <n v="4.8"/>
  </r>
  <r>
    <n v="727"/>
    <x v="726"/>
    <x v="32"/>
    <x v="6"/>
    <x v="1"/>
    <x v="62"/>
    <x v="561"/>
    <n v="69.3"/>
    <n v="7.5"/>
    <s v="Hombale Films"/>
    <n v="28.8"/>
    <n v="71.09999999999999"/>
  </r>
  <r>
    <n v="728"/>
    <x v="727"/>
    <x v="24"/>
    <x v="7"/>
    <x v="2"/>
    <x v="65"/>
    <x v="404"/>
    <n v="795.2"/>
    <n v="5.3"/>
    <s v="Pixar"/>
    <n v="653.4"/>
    <n v="460.8"/>
  </r>
  <r>
    <n v="729"/>
    <x v="728"/>
    <x v="6"/>
    <x v="8"/>
    <x v="1"/>
    <x v="26"/>
    <x v="562"/>
    <n v="9.5"/>
    <n v="6.9"/>
    <s v="Hombale Films"/>
    <n v="-2.1"/>
    <n v="-18.1"/>
  </r>
  <r>
    <n v="730"/>
    <x v="729"/>
    <x v="13"/>
    <x v="6"/>
    <x v="1"/>
    <x v="16"/>
    <x v="563"/>
    <n v="8.5"/>
    <n v="6.8"/>
    <s v="Yash Raj Films"/>
    <n v="0.8"/>
    <n v="10.4"/>
  </r>
  <r>
    <n v="731"/>
    <x v="730"/>
    <x v="0"/>
    <x v="8"/>
    <x v="2"/>
    <x v="97"/>
    <x v="564"/>
    <n v="513"/>
    <n v="6.2"/>
    <s v="Paramount"/>
    <n v="349.5"/>
    <n v="213.8"/>
  </r>
  <r>
    <n v="732"/>
    <x v="731"/>
    <x v="32"/>
    <x v="8"/>
    <x v="1"/>
    <x v="33"/>
    <x v="175"/>
    <n v="2.9"/>
    <n v="7.8"/>
    <s v="Yash Raj Films"/>
    <n v="-3.8"/>
    <n v="-56.7"/>
  </r>
  <r>
    <n v="733"/>
    <x v="732"/>
    <x v="32"/>
    <x v="1"/>
    <x v="0"/>
    <x v="26"/>
    <x v="565"/>
    <n v="95.3"/>
    <n v="8.199999999999999"/>
    <s v="CJ Entertainment"/>
    <n v="64"/>
    <n v="204.5"/>
  </r>
  <r>
    <n v="734"/>
    <x v="733"/>
    <x v="26"/>
    <x v="7"/>
    <x v="2"/>
    <x v="55"/>
    <x v="566"/>
    <n v="267.3"/>
    <n v="6.6"/>
    <s v="Sony Pictures"/>
    <n v="211.6"/>
    <n v="379.9"/>
  </r>
  <r>
    <n v="735"/>
    <x v="734"/>
    <x v="31"/>
    <x v="9"/>
    <x v="2"/>
    <x v="41"/>
    <x v="567"/>
    <n v="87.5"/>
    <n v="6.6"/>
    <s v="Warner Bros."/>
    <n v="50.6"/>
    <n v="137.1"/>
  </r>
  <r>
    <n v="736"/>
    <x v="735"/>
    <x v="19"/>
    <x v="5"/>
    <x v="1"/>
    <x v="112"/>
    <x v="198"/>
    <n v="12.8"/>
    <n v="6.3"/>
    <s v="Yash Raj Films"/>
    <n v="0.8"/>
    <n v="6.7"/>
  </r>
  <r>
    <n v="737"/>
    <x v="736"/>
    <x v="2"/>
    <x v="8"/>
    <x v="0"/>
    <x v="71"/>
    <x v="568"/>
    <n v="43.4"/>
    <n v="7.7"/>
    <s v="CJ Entertainment"/>
    <n v="20.3"/>
    <n v="87.90000000000001"/>
  </r>
  <r>
    <n v="738"/>
    <x v="737"/>
    <x v="31"/>
    <x v="9"/>
    <x v="2"/>
    <x v="113"/>
    <x v="569"/>
    <n v="29.6"/>
    <n v="8.9"/>
    <s v="Warner Bros."/>
    <n v="10.4"/>
    <n v="54.2"/>
  </r>
  <r>
    <n v="739"/>
    <x v="738"/>
    <x v="20"/>
    <x v="5"/>
    <x v="2"/>
    <x v="4"/>
    <x v="46"/>
    <n v="35.6"/>
    <n v="6.8"/>
    <s v="Universal"/>
    <n v="0.4"/>
    <n v="1.1"/>
  </r>
  <r>
    <n v="740"/>
    <x v="739"/>
    <x v="29"/>
    <x v="7"/>
    <x v="2"/>
    <x v="23"/>
    <x v="433"/>
    <n v="88.40000000000001"/>
    <n v="7.8"/>
    <s v="Sony Pictures"/>
    <n v="64.5"/>
    <n v="269.9"/>
  </r>
  <r>
    <n v="741"/>
    <x v="740"/>
    <x v="24"/>
    <x v="0"/>
    <x v="5"/>
    <x v="71"/>
    <x v="422"/>
    <n v="178.3"/>
    <n v="6.2"/>
    <s v="Paramount"/>
    <n v="66.90000000000001"/>
    <n v="60.1"/>
  </r>
  <r>
    <n v="742"/>
    <x v="741"/>
    <x v="27"/>
    <x v="5"/>
    <x v="2"/>
    <x v="55"/>
    <x v="303"/>
    <n v="254.7"/>
    <n v="8.300000000000001"/>
    <s v="Lionsgate"/>
    <n v="174.7"/>
    <n v="218.4"/>
  </r>
  <r>
    <n v="743"/>
    <x v="742"/>
    <x v="26"/>
    <x v="9"/>
    <x v="1"/>
    <x v="24"/>
    <x v="499"/>
    <n v="9.9"/>
    <n v="6.5"/>
    <s v="Aamir Khan Productions"/>
    <n v="5.7"/>
    <n v="135.7"/>
  </r>
  <r>
    <n v="744"/>
    <x v="743"/>
    <x v="35"/>
    <x v="6"/>
    <x v="1"/>
    <x v="3"/>
    <x v="570"/>
    <n v="2.9"/>
    <n v="6.8"/>
    <s v="Hombale Films"/>
    <n v="-1.1"/>
    <n v="-27.5"/>
  </r>
  <r>
    <n v="745"/>
    <x v="744"/>
    <x v="3"/>
    <x v="3"/>
    <x v="1"/>
    <x v="30"/>
    <x v="116"/>
    <n v="48.2"/>
    <n v="8.4"/>
    <s v="Panorama Studios"/>
    <n v="34"/>
    <n v="239.4"/>
  </r>
  <r>
    <n v="746"/>
    <x v="745"/>
    <x v="21"/>
    <x v="3"/>
    <x v="7"/>
    <x v="8"/>
    <x v="555"/>
    <n v="73.90000000000001"/>
    <n v="6.9"/>
    <s v="Marvel"/>
    <n v="10.3"/>
    <n v="16.2"/>
  </r>
  <r>
    <n v="747"/>
    <x v="746"/>
    <x v="34"/>
    <x v="6"/>
    <x v="2"/>
    <x v="27"/>
    <x v="571"/>
    <n v="124.1"/>
    <n v="7.3"/>
    <s v="A24"/>
    <n v="92.59999999999999"/>
    <n v="294"/>
  </r>
  <r>
    <n v="748"/>
    <x v="747"/>
    <x v="1"/>
    <x v="4"/>
    <x v="4"/>
    <x v="14"/>
    <x v="73"/>
    <n v="240.5"/>
    <n v="6.2"/>
    <s v="Pixar"/>
    <n v="173.1"/>
    <n v="256.8"/>
  </r>
  <r>
    <n v="749"/>
    <x v="748"/>
    <x v="4"/>
    <x v="2"/>
    <x v="2"/>
    <x v="44"/>
    <x v="565"/>
    <n v="38.8"/>
    <n v="6.6"/>
    <s v="Sony Pictures"/>
    <n v="7.5"/>
    <n v="24"/>
  </r>
  <r>
    <n v="750"/>
    <x v="749"/>
    <x v="0"/>
    <x v="1"/>
    <x v="2"/>
    <x v="39"/>
    <x v="572"/>
    <n v="50.5"/>
    <n v="7.8"/>
    <s v="Paramount"/>
    <n v="0.4"/>
    <n v="0.8"/>
  </r>
  <r>
    <n v="751"/>
    <x v="750"/>
    <x v="2"/>
    <x v="5"/>
    <x v="2"/>
    <x v="91"/>
    <x v="241"/>
    <n v="70.3"/>
    <n v="6.9"/>
    <s v="Disney"/>
    <n v="37.2"/>
    <n v="112.4"/>
  </r>
  <r>
    <n v="752"/>
    <x v="751"/>
    <x v="26"/>
    <x v="1"/>
    <x v="2"/>
    <x v="71"/>
    <x v="307"/>
    <n v="280.4"/>
    <n v="7.4"/>
    <s v="Universal"/>
    <n v="192.1"/>
    <n v="217.6"/>
  </r>
  <r>
    <n v="753"/>
    <x v="752"/>
    <x v="27"/>
    <x v="9"/>
    <x v="2"/>
    <x v="83"/>
    <x v="573"/>
    <n v="155.9"/>
    <n v="8.800000000000001"/>
    <s v="Warner Bros."/>
    <n v="31.4"/>
    <n v="25.2"/>
  </r>
  <r>
    <n v="754"/>
    <x v="753"/>
    <x v="9"/>
    <x v="4"/>
    <x v="2"/>
    <x v="107"/>
    <x v="574"/>
    <n v="100"/>
    <n v="8.5"/>
    <s v="Warner Bros."/>
    <n v="55"/>
    <n v="122.2"/>
  </r>
  <r>
    <n v="755"/>
    <x v="754"/>
    <x v="25"/>
    <x v="3"/>
    <x v="2"/>
    <x v="42"/>
    <x v="575"/>
    <n v="129.6"/>
    <n v="7.8"/>
    <s v="Universal"/>
    <n v="-55.2"/>
    <n v="-29.9"/>
  </r>
  <r>
    <n v="756"/>
    <x v="755"/>
    <x v="17"/>
    <x v="6"/>
    <x v="2"/>
    <x v="33"/>
    <x v="576"/>
    <n v="24.2"/>
    <n v="7.8"/>
    <s v="Lionsgate"/>
    <n v="-10.8"/>
    <n v="-30.9"/>
  </r>
  <r>
    <n v="757"/>
    <x v="756"/>
    <x v="9"/>
    <x v="0"/>
    <x v="1"/>
    <x v="42"/>
    <x v="406"/>
    <n v="18.6"/>
    <n v="8.300000000000001"/>
    <s v="Mythri Movie Makers"/>
    <n v="12.4"/>
    <n v="200"/>
  </r>
  <r>
    <n v="758"/>
    <x v="757"/>
    <x v="20"/>
    <x v="1"/>
    <x v="0"/>
    <x v="112"/>
    <x v="577"/>
    <n v="133.1"/>
    <n v="5.9"/>
    <s v="CJ Entertainment"/>
    <n v="83.3"/>
    <n v="167.3"/>
  </r>
  <r>
    <n v="759"/>
    <x v="758"/>
    <x v="32"/>
    <x v="3"/>
    <x v="2"/>
    <x v="35"/>
    <x v="578"/>
    <n v="39.2"/>
    <n v="8.1"/>
    <s v="20th Century Fox"/>
    <n v="-33.5"/>
    <n v="-46.1"/>
  </r>
  <r>
    <n v="760"/>
    <x v="759"/>
    <x v="11"/>
    <x v="2"/>
    <x v="1"/>
    <x v="13"/>
    <x v="579"/>
    <n v="5.2"/>
    <n v="7.4"/>
    <s v="Hombale Films"/>
    <n v="2.3"/>
    <n v="79.3"/>
  </r>
  <r>
    <n v="761"/>
    <x v="760"/>
    <x v="19"/>
    <x v="9"/>
    <x v="2"/>
    <x v="109"/>
    <x v="580"/>
    <n v="67.2"/>
    <n v="6"/>
    <s v="Disney"/>
    <n v="22.7"/>
    <n v="51"/>
  </r>
  <r>
    <n v="762"/>
    <x v="761"/>
    <x v="19"/>
    <x v="0"/>
    <x v="2"/>
    <x v="80"/>
    <x v="177"/>
    <n v="156.6"/>
    <n v="6.4"/>
    <s v="Lionsgate"/>
    <n v="31"/>
    <n v="24.7"/>
  </r>
  <r>
    <n v="763"/>
    <x v="762"/>
    <x v="34"/>
    <x v="4"/>
    <x v="3"/>
    <x v="42"/>
    <x v="523"/>
    <n v="77"/>
    <n v="6.9"/>
    <s v="Warner Bros."/>
    <n v="50.4"/>
    <n v="189.5"/>
  </r>
  <r>
    <n v="764"/>
    <x v="763"/>
    <x v="30"/>
    <x v="5"/>
    <x v="2"/>
    <x v="71"/>
    <x v="581"/>
    <n v="25.9"/>
    <n v="6.7"/>
    <s v="Marvel"/>
    <n v="4.1"/>
    <n v="18.8"/>
  </r>
  <r>
    <n v="765"/>
    <x v="764"/>
    <x v="2"/>
    <x v="1"/>
    <x v="3"/>
    <x v="22"/>
    <x v="438"/>
    <n v="93.09999999999999"/>
    <n v="6"/>
    <s v="Warner Bros."/>
    <n v="52.9"/>
    <n v="131.6"/>
  </r>
  <r>
    <n v="766"/>
    <x v="765"/>
    <x v="21"/>
    <x v="6"/>
    <x v="2"/>
    <x v="105"/>
    <x v="582"/>
    <n v="70"/>
    <n v="7"/>
    <s v="Sony Pictures"/>
    <n v="-38.3"/>
    <n v="-35.4"/>
  </r>
  <r>
    <n v="767"/>
    <x v="766"/>
    <x v="1"/>
    <x v="7"/>
    <x v="1"/>
    <x v="74"/>
    <x v="465"/>
    <n v="17.7"/>
    <n v="5.8"/>
    <s v="Panorama Studios"/>
    <n v="12.5"/>
    <n v="240.4"/>
  </r>
  <r>
    <n v="768"/>
    <x v="767"/>
    <x v="12"/>
    <x v="1"/>
    <x v="2"/>
    <x v="25"/>
    <x v="185"/>
    <n v="127.7"/>
    <n v="7.7"/>
    <s v="A24"/>
    <n v="64.5"/>
    <n v="102.1"/>
  </r>
  <r>
    <n v="769"/>
    <x v="768"/>
    <x v="19"/>
    <x v="4"/>
    <x v="2"/>
    <x v="30"/>
    <x v="583"/>
    <n v="179.8"/>
    <n v="6.9"/>
    <s v="Lionsgate"/>
    <n v="-198.7"/>
    <n v="-52.5"/>
  </r>
  <r>
    <n v="770"/>
    <x v="769"/>
    <x v="13"/>
    <x v="3"/>
    <x v="2"/>
    <x v="21"/>
    <x v="584"/>
    <n v="72.5"/>
    <n v="6.9"/>
    <s v="Marvel"/>
    <n v="-10.1"/>
    <n v="-12.2"/>
  </r>
  <r>
    <n v="771"/>
    <x v="770"/>
    <x v="33"/>
    <x v="7"/>
    <x v="1"/>
    <x v="35"/>
    <x v="585"/>
    <n v="32.8"/>
    <n v="7.6"/>
    <s v="Hombale Films"/>
    <n v="20.5"/>
    <n v="166.7"/>
  </r>
  <r>
    <n v="772"/>
    <x v="771"/>
    <x v="8"/>
    <x v="7"/>
    <x v="2"/>
    <x v="69"/>
    <x v="373"/>
    <n v="206.2"/>
    <n v="8"/>
    <s v="Universal"/>
    <n v="158.4"/>
    <n v="331.4"/>
  </r>
  <r>
    <n v="773"/>
    <x v="772"/>
    <x v="31"/>
    <x v="3"/>
    <x v="2"/>
    <x v="91"/>
    <x v="586"/>
    <n v="157.2"/>
    <n v="6.7"/>
    <s v="Sony Pictures"/>
    <n v="69.5"/>
    <n v="79.2"/>
  </r>
  <r>
    <n v="774"/>
    <x v="773"/>
    <x v="13"/>
    <x v="3"/>
    <x v="2"/>
    <x v="83"/>
    <x v="184"/>
    <n v="65.40000000000001"/>
    <n v="8.300000000000001"/>
    <s v="Universal"/>
    <n v="31.8"/>
    <n v="94.59999999999999"/>
  </r>
  <r>
    <n v="775"/>
    <x v="774"/>
    <x v="4"/>
    <x v="7"/>
    <x v="2"/>
    <x v="15"/>
    <x v="587"/>
    <n v="343.5"/>
    <n v="8.699999999999999"/>
    <s v="Sony Pictures"/>
    <n v="285.1"/>
    <n v="488.2"/>
  </r>
  <r>
    <n v="776"/>
    <x v="775"/>
    <x v="17"/>
    <x v="6"/>
    <x v="1"/>
    <x v="22"/>
    <x v="588"/>
    <n v="44.5"/>
    <n v="6.7"/>
    <s v="Hombale Films"/>
    <n v="27.8"/>
    <n v="166.5"/>
  </r>
  <r>
    <n v="777"/>
    <x v="776"/>
    <x v="0"/>
    <x v="9"/>
    <x v="1"/>
    <x v="8"/>
    <x v="589"/>
    <n v="10.3"/>
    <n v="6.9"/>
    <s v="Aamir Khan Productions"/>
    <n v="5.2"/>
    <n v="102"/>
  </r>
  <r>
    <n v="778"/>
    <x v="777"/>
    <x v="28"/>
    <x v="7"/>
    <x v="4"/>
    <x v="62"/>
    <x v="436"/>
    <n v="127.9"/>
    <n v="6.8"/>
    <s v="Universal"/>
    <n v="98.5"/>
    <n v="335"/>
  </r>
  <r>
    <n v="779"/>
    <x v="778"/>
    <x v="27"/>
    <x v="0"/>
    <x v="1"/>
    <x v="24"/>
    <x v="71"/>
    <n v="33.9"/>
    <n v="8.9"/>
    <s v="Yash Raj Films"/>
    <n v="13.2"/>
    <n v="63.8"/>
  </r>
  <r>
    <n v="780"/>
    <x v="779"/>
    <x v="33"/>
    <x v="1"/>
    <x v="2"/>
    <x v="58"/>
    <x v="590"/>
    <n v="106.3"/>
    <n v="6.4"/>
    <s v="Pixar"/>
    <n v="-86.7"/>
    <n v="-44.9"/>
  </r>
  <r>
    <n v="781"/>
    <x v="780"/>
    <x v="26"/>
    <x v="3"/>
    <x v="2"/>
    <x v="46"/>
    <x v="73"/>
    <n v="180"/>
    <n v="6.2"/>
    <s v="Paramount"/>
    <n v="112.6"/>
    <n v="167.1"/>
  </r>
  <r>
    <n v="782"/>
    <x v="781"/>
    <x v="6"/>
    <x v="4"/>
    <x v="1"/>
    <x v="14"/>
    <x v="585"/>
    <n v="37.3"/>
    <n v="7.7"/>
    <s v="Hombale Films"/>
    <n v="25"/>
    <n v="203.3"/>
  </r>
  <r>
    <n v="783"/>
    <x v="782"/>
    <x v="29"/>
    <x v="6"/>
    <x v="2"/>
    <x v="49"/>
    <x v="181"/>
    <n v="173.2"/>
    <n v="6.8"/>
    <s v="Disney"/>
    <n v="131.9"/>
    <n v="319.4"/>
  </r>
  <r>
    <n v="784"/>
    <x v="783"/>
    <x v="4"/>
    <x v="1"/>
    <x v="2"/>
    <x v="42"/>
    <x v="591"/>
    <n v="98.40000000000001"/>
    <n v="7.1"/>
    <s v="Lionsgate"/>
    <n v="41.4"/>
    <n v="72.59999999999999"/>
  </r>
  <r>
    <n v="785"/>
    <x v="784"/>
    <x v="8"/>
    <x v="4"/>
    <x v="2"/>
    <x v="76"/>
    <x v="592"/>
    <n v="119.9"/>
    <n v="6.4"/>
    <s v="Disney"/>
    <n v="-12.5"/>
    <n v="-9.4"/>
  </r>
  <r>
    <n v="786"/>
    <x v="785"/>
    <x v="27"/>
    <x v="1"/>
    <x v="1"/>
    <x v="8"/>
    <x v="563"/>
    <n v="16.5"/>
    <n v="6.2"/>
    <s v="Hombale Films"/>
    <n v="8.800000000000001"/>
    <n v="114.3"/>
  </r>
  <r>
    <n v="787"/>
    <x v="786"/>
    <x v="27"/>
    <x v="1"/>
    <x v="4"/>
    <x v="48"/>
    <x v="593"/>
    <n v="48.9"/>
    <n v="6.5"/>
    <s v="20th Century Fox"/>
    <n v="9.300000000000001"/>
    <n v="23.5"/>
  </r>
  <r>
    <n v="788"/>
    <x v="787"/>
    <x v="3"/>
    <x v="3"/>
    <x v="1"/>
    <x v="31"/>
    <x v="169"/>
    <n v="43.4"/>
    <n v="6.2"/>
    <s v="Panorama Studios"/>
    <n v="30.5"/>
    <n v="236.4"/>
  </r>
  <r>
    <n v="789"/>
    <x v="788"/>
    <x v="15"/>
    <x v="4"/>
    <x v="2"/>
    <x v="77"/>
    <x v="594"/>
    <n v="271.1"/>
    <n v="7.2"/>
    <s v="Warner Bros."/>
    <n v="210.1"/>
    <n v="344.4"/>
  </r>
  <r>
    <n v="790"/>
    <x v="789"/>
    <x v="11"/>
    <x v="0"/>
    <x v="2"/>
    <x v="22"/>
    <x v="540"/>
    <n v="244.6"/>
    <n v="8.199999999999999"/>
    <s v="Lionsgate"/>
    <n v="137.1"/>
    <n v="127.5"/>
  </r>
  <r>
    <n v="791"/>
    <x v="790"/>
    <x v="30"/>
    <x v="0"/>
    <x v="3"/>
    <x v="60"/>
    <x v="595"/>
    <n v="85.7"/>
    <n v="7.8"/>
    <s v="Paramount"/>
    <n v="-14.9"/>
    <n v="-14.8"/>
  </r>
  <r>
    <n v="792"/>
    <x v="791"/>
    <x v="8"/>
    <x v="5"/>
    <x v="2"/>
    <x v="17"/>
    <x v="372"/>
    <n v="114.2"/>
    <n v="8.5"/>
    <s v="Universal"/>
    <n v="73"/>
    <n v="177.2"/>
  </r>
  <r>
    <n v="793"/>
    <x v="792"/>
    <x v="3"/>
    <x v="1"/>
    <x v="1"/>
    <x v="72"/>
    <x v="60"/>
    <n v="33.1"/>
    <n v="8.1"/>
    <s v="Aamir Khan Productions"/>
    <n v="23.3"/>
    <n v="237.8"/>
  </r>
  <r>
    <n v="794"/>
    <x v="793"/>
    <x v="35"/>
    <x v="3"/>
    <x v="0"/>
    <x v="17"/>
    <x v="596"/>
    <n v="99.59999999999999"/>
    <n v="5.8"/>
    <s v="CJ Entertainment"/>
    <n v="34.2"/>
    <n v="52.3"/>
  </r>
  <r>
    <n v="795"/>
    <x v="794"/>
    <x v="0"/>
    <x v="4"/>
    <x v="2"/>
    <x v="100"/>
    <x v="597"/>
    <n v="550.8"/>
    <n v="8.199999999999999"/>
    <s v="Disney"/>
    <n v="374"/>
    <n v="211.5"/>
  </r>
  <r>
    <n v="796"/>
    <x v="795"/>
    <x v="22"/>
    <x v="5"/>
    <x v="5"/>
    <x v="87"/>
    <x v="598"/>
    <n v="74.09999999999999"/>
    <n v="6.4"/>
    <s v="20th Century Fox"/>
    <n v="39.9"/>
    <n v="116.7"/>
  </r>
  <r>
    <n v="797"/>
    <x v="796"/>
    <x v="35"/>
    <x v="9"/>
    <x v="2"/>
    <x v="69"/>
    <x v="7"/>
    <n v="29.1"/>
    <n v="6.7"/>
    <s v="Lionsgate"/>
    <n v="13.2"/>
    <n v="83"/>
  </r>
  <r>
    <n v="798"/>
    <x v="797"/>
    <x v="13"/>
    <x v="8"/>
    <x v="1"/>
    <x v="103"/>
    <x v="599"/>
    <n v="61.8"/>
    <n v="8.9"/>
    <s v="Hombale Films"/>
    <n v="32.7"/>
    <n v="112.4"/>
  </r>
  <r>
    <n v="799"/>
    <x v="798"/>
    <x v="31"/>
    <x v="8"/>
    <x v="1"/>
    <x v="72"/>
    <x v="99"/>
    <n v="12.1"/>
    <n v="7.2"/>
    <s v="Yash Raj Films"/>
    <n v="-0.3"/>
    <n v="-2.4"/>
  </r>
  <r>
    <n v="800"/>
    <x v="799"/>
    <x v="18"/>
    <x v="1"/>
    <x v="2"/>
    <x v="107"/>
    <x v="600"/>
    <n v="144.3"/>
    <n v="6.6"/>
    <s v="20th Century Fox"/>
    <n v="76.40000000000001"/>
    <n v="112.5"/>
  </r>
  <r>
    <n v="801"/>
    <x v="800"/>
    <x v="17"/>
    <x v="6"/>
    <x v="2"/>
    <x v="34"/>
    <x v="601"/>
    <n v="219.5"/>
    <n v="7.2"/>
    <s v="Pixar"/>
    <n v="166.2"/>
    <n v="311.8"/>
  </r>
  <r>
    <n v="802"/>
    <x v="801"/>
    <x v="23"/>
    <x v="7"/>
    <x v="2"/>
    <x v="44"/>
    <x v="193"/>
    <n v="305.9"/>
    <n v="7.2"/>
    <s v="Universal"/>
    <n v="247.1"/>
    <n v="420.2"/>
  </r>
  <r>
    <n v="803"/>
    <x v="802"/>
    <x v="0"/>
    <x v="4"/>
    <x v="5"/>
    <x v="13"/>
    <x v="602"/>
    <n v="231.1"/>
    <n v="6.5"/>
    <s v="Lionsgate"/>
    <n v="190.3"/>
    <n v="466.4"/>
  </r>
  <r>
    <n v="804"/>
    <x v="803"/>
    <x v="26"/>
    <x v="6"/>
    <x v="2"/>
    <x v="25"/>
    <x v="66"/>
    <n v="33.9"/>
    <n v="7.3"/>
    <s v="A24"/>
    <n v="-18.5"/>
    <n v="-35.3"/>
  </r>
  <r>
    <n v="805"/>
    <x v="804"/>
    <x v="29"/>
    <x v="4"/>
    <x v="1"/>
    <x v="7"/>
    <x v="603"/>
    <n v="16.2"/>
    <n v="6.7"/>
    <s v="Mythri Movie Makers"/>
    <n v="8.300000000000001"/>
    <n v="105.1"/>
  </r>
  <r>
    <n v="806"/>
    <x v="805"/>
    <x v="12"/>
    <x v="3"/>
    <x v="1"/>
    <x v="2"/>
    <x v="419"/>
    <n v="11.5"/>
    <n v="7.4"/>
    <s v="Hombale Films"/>
    <n v="8.300000000000001"/>
    <n v="259.4"/>
  </r>
  <r>
    <n v="807"/>
    <x v="806"/>
    <x v="26"/>
    <x v="9"/>
    <x v="1"/>
    <x v="66"/>
    <x v="148"/>
    <n v="31.3"/>
    <n v="7.1"/>
    <s v="Hombale Films"/>
    <n v="19.5"/>
    <n v="165.3"/>
  </r>
  <r>
    <n v="808"/>
    <x v="807"/>
    <x v="0"/>
    <x v="2"/>
    <x v="3"/>
    <x v="19"/>
    <x v="604"/>
    <n v="159.9"/>
    <n v="6.1"/>
    <s v="Universal"/>
    <n v="-38.4"/>
    <n v="-19.4"/>
  </r>
  <r>
    <n v="809"/>
    <x v="808"/>
    <x v="17"/>
    <x v="6"/>
    <x v="2"/>
    <x v="67"/>
    <x v="292"/>
    <n v="151.2"/>
    <n v="7.2"/>
    <s v="Warner Bros."/>
    <n v="72.40000000000001"/>
    <n v="91.90000000000001"/>
  </r>
  <r>
    <n v="810"/>
    <x v="809"/>
    <x v="26"/>
    <x v="9"/>
    <x v="1"/>
    <x v="12"/>
    <x v="414"/>
    <n v="10.2"/>
    <n v="6.7"/>
    <s v="Hombale Films"/>
    <n v="5.7"/>
    <n v="126.7"/>
  </r>
  <r>
    <n v="811"/>
    <x v="810"/>
    <x v="10"/>
    <x v="0"/>
    <x v="1"/>
    <x v="42"/>
    <x v="450"/>
    <n v="13.7"/>
    <n v="6.3"/>
    <s v="Hombale Films"/>
    <n v="8.699999999999999"/>
    <n v="174"/>
  </r>
  <r>
    <n v="812"/>
    <x v="811"/>
    <x v="5"/>
    <x v="0"/>
    <x v="2"/>
    <x v="28"/>
    <x v="605"/>
    <n v="385.2"/>
    <n v="7.7"/>
    <s v="Sony Pictures"/>
    <n v="237.3"/>
    <n v="160.4"/>
  </r>
  <r>
    <n v="813"/>
    <x v="812"/>
    <x v="7"/>
    <x v="4"/>
    <x v="2"/>
    <x v="7"/>
    <x v="333"/>
    <n v="60.4"/>
    <n v="8"/>
    <s v="Lionsgate"/>
    <n v="16.8"/>
    <n v="38.5"/>
  </r>
  <r>
    <n v="814"/>
    <x v="813"/>
    <x v="2"/>
    <x v="4"/>
    <x v="2"/>
    <x v="31"/>
    <x v="606"/>
    <n v="131.5"/>
    <n v="6.4"/>
    <s v="Paramount"/>
    <n v="27.8"/>
    <n v="26.8"/>
  </r>
  <r>
    <n v="815"/>
    <x v="814"/>
    <x v="3"/>
    <x v="1"/>
    <x v="2"/>
    <x v="67"/>
    <x v="607"/>
    <n v="189.1"/>
    <n v="6.2"/>
    <s v="Marvel"/>
    <n v="114.7"/>
    <n v="154.2"/>
  </r>
  <r>
    <n v="816"/>
    <x v="815"/>
    <x v="13"/>
    <x v="1"/>
    <x v="2"/>
    <x v="45"/>
    <x v="608"/>
    <n v="450.4"/>
    <n v="8.1"/>
    <s v="Disney"/>
    <n v="296.9"/>
    <n v="193.4"/>
  </r>
  <r>
    <n v="817"/>
    <x v="816"/>
    <x v="10"/>
    <x v="2"/>
    <x v="5"/>
    <x v="34"/>
    <x v="140"/>
    <n v="28.3"/>
    <n v="7.4"/>
    <s v="Warner Bros."/>
    <n v="-5.1"/>
    <n v="-15.3"/>
  </r>
  <r>
    <n v="818"/>
    <x v="817"/>
    <x v="29"/>
    <x v="0"/>
    <x v="2"/>
    <x v="66"/>
    <x v="609"/>
    <n v="80.7"/>
    <n v="8.1"/>
    <s v="Disney"/>
    <n v="52.6"/>
    <n v="187.2"/>
  </r>
  <r>
    <n v="819"/>
    <x v="818"/>
    <x v="33"/>
    <x v="1"/>
    <x v="2"/>
    <x v="102"/>
    <x v="109"/>
    <n v="1161.5"/>
    <n v="6.6"/>
    <s v="Paramount"/>
    <n v="761.5"/>
    <n v="190.4"/>
  </r>
  <r>
    <n v="820"/>
    <x v="819"/>
    <x v="15"/>
    <x v="4"/>
    <x v="2"/>
    <x v="15"/>
    <x v="610"/>
    <n v="207.5"/>
    <n v="8.300000000000001"/>
    <s v="Warner Bros."/>
    <n v="145.3"/>
    <n v="233.6"/>
  </r>
  <r>
    <n v="821"/>
    <x v="820"/>
    <x v="17"/>
    <x v="0"/>
    <x v="2"/>
    <x v="44"/>
    <x v="611"/>
    <n v="368.6"/>
    <n v="6.2"/>
    <s v="Lionsgate"/>
    <n v="55.6"/>
    <n v="17.8"/>
  </r>
  <r>
    <n v="822"/>
    <x v="821"/>
    <x v="34"/>
    <x v="1"/>
    <x v="1"/>
    <x v="102"/>
    <x v="179"/>
    <n v="9.6"/>
    <n v="8"/>
    <s v="Mythri Movie Makers"/>
    <n v="4.9"/>
    <n v="104.3"/>
  </r>
  <r>
    <n v="823"/>
    <x v="822"/>
    <x v="30"/>
    <x v="7"/>
    <x v="1"/>
    <x v="95"/>
    <x v="612"/>
    <n v="5.4"/>
    <n v="6.5"/>
    <s v="Yash Raj Films"/>
    <n v="-0.6"/>
    <n v="-10"/>
  </r>
  <r>
    <n v="824"/>
    <x v="823"/>
    <x v="29"/>
    <x v="5"/>
    <x v="4"/>
    <x v="7"/>
    <x v="613"/>
    <n v="102.8"/>
    <n v="6"/>
    <s v="Pixar"/>
    <n v="-14.2"/>
    <n v="-12.1"/>
  </r>
  <r>
    <n v="825"/>
    <x v="824"/>
    <x v="1"/>
    <x v="8"/>
    <x v="2"/>
    <x v="91"/>
    <x v="614"/>
    <n v="301.7"/>
    <n v="5.8"/>
    <s v="Sony Pictures"/>
    <n v="221.8"/>
    <n v="277.6"/>
  </r>
  <r>
    <n v="826"/>
    <x v="825"/>
    <x v="35"/>
    <x v="2"/>
    <x v="5"/>
    <x v="96"/>
    <x v="615"/>
    <n v="544.8"/>
    <n v="6.8"/>
    <s v="Warner Bros."/>
    <n v="396.4"/>
    <n v="267.1"/>
  </r>
  <r>
    <n v="827"/>
    <x v="826"/>
    <x v="6"/>
    <x v="9"/>
    <x v="2"/>
    <x v="74"/>
    <x v="616"/>
    <n v="346"/>
    <n v="7.2"/>
    <s v="Pixar"/>
    <n v="235.8"/>
    <n v="214"/>
  </r>
  <r>
    <n v="828"/>
    <x v="827"/>
    <x v="12"/>
    <x v="4"/>
    <x v="2"/>
    <x v="99"/>
    <x v="417"/>
    <n v="205.9"/>
    <n v="7.3"/>
    <s v="Marvel"/>
    <n v="157.5"/>
    <n v="325.4"/>
  </r>
  <r>
    <n v="829"/>
    <x v="828"/>
    <x v="12"/>
    <x v="6"/>
    <x v="2"/>
    <x v="45"/>
    <x v="617"/>
    <n v="149.3"/>
    <n v="7.5"/>
    <s v="Paramount"/>
    <n v="53"/>
    <n v="55"/>
  </r>
  <r>
    <n v="830"/>
    <x v="829"/>
    <x v="6"/>
    <x v="7"/>
    <x v="2"/>
    <x v="63"/>
    <x v="618"/>
    <n v="453.3"/>
    <n v="4.8"/>
    <s v="Sony Pictures"/>
    <n v="379.4"/>
    <n v="513.4"/>
  </r>
  <r>
    <n v="831"/>
    <x v="830"/>
    <x v="25"/>
    <x v="5"/>
    <x v="2"/>
    <x v="100"/>
    <x v="216"/>
    <n v="91.7"/>
    <n v="7.3"/>
    <s v="Warner Bros."/>
    <n v="57.6"/>
    <n v="168.9"/>
  </r>
  <r>
    <n v="832"/>
    <x v="831"/>
    <x v="30"/>
    <x v="9"/>
    <x v="2"/>
    <x v="45"/>
    <x v="338"/>
    <n v="107.2"/>
    <n v="8.1"/>
    <s v="Lionsgate"/>
    <n v="67.8"/>
    <n v="172.1"/>
  </r>
  <r>
    <n v="833"/>
    <x v="832"/>
    <x v="24"/>
    <x v="6"/>
    <x v="2"/>
    <x v="9"/>
    <x v="619"/>
    <n v="512.4"/>
    <n v="5.6"/>
    <s v="Disney"/>
    <n v="380.2"/>
    <n v="287.6"/>
  </r>
  <r>
    <n v="834"/>
    <x v="833"/>
    <x v="1"/>
    <x v="3"/>
    <x v="2"/>
    <x v="17"/>
    <x v="291"/>
    <n v="383.1"/>
    <n v="7.9"/>
    <s v="Warner Bros."/>
    <n v="289"/>
    <n v="307.1"/>
  </r>
  <r>
    <n v="835"/>
    <x v="834"/>
    <x v="20"/>
    <x v="7"/>
    <x v="1"/>
    <x v="2"/>
    <x v="463"/>
    <n v="34.6"/>
    <n v="6.5"/>
    <s v="Hombale Films"/>
    <n v="27.2"/>
    <n v="367.6"/>
  </r>
  <r>
    <n v="836"/>
    <x v="835"/>
    <x v="11"/>
    <x v="1"/>
    <x v="2"/>
    <x v="3"/>
    <x v="620"/>
    <n v="656.7"/>
    <n v="6.2"/>
    <s v="Marvel"/>
    <n v="418"/>
    <n v="175.1"/>
  </r>
  <r>
    <n v="837"/>
    <x v="836"/>
    <x v="30"/>
    <x v="0"/>
    <x v="1"/>
    <x v="29"/>
    <x v="621"/>
    <n v="32.6"/>
    <n v="6.4"/>
    <s v="Aamir Khan Productions"/>
    <n v="19.4"/>
    <n v="147"/>
  </r>
  <r>
    <n v="838"/>
    <x v="837"/>
    <x v="6"/>
    <x v="9"/>
    <x v="2"/>
    <x v="62"/>
    <x v="622"/>
    <n v="120.9"/>
    <n v="7.8"/>
    <s v="A24"/>
    <n v="77.09999999999999"/>
    <n v="176"/>
  </r>
  <r>
    <n v="839"/>
    <x v="838"/>
    <x v="16"/>
    <x v="9"/>
    <x v="2"/>
    <x v="48"/>
    <x v="623"/>
    <n v="71.3"/>
    <n v="7.3"/>
    <s v="Warner Bros."/>
    <n v="44.9"/>
    <n v="170.1"/>
  </r>
  <r>
    <n v="840"/>
    <x v="839"/>
    <x v="35"/>
    <x v="9"/>
    <x v="2"/>
    <x v="72"/>
    <x v="479"/>
    <n v="100"/>
    <n v="8.800000000000001"/>
    <s v="Pixar"/>
    <n v="39.6"/>
    <n v="65.59999999999999"/>
  </r>
  <r>
    <n v="841"/>
    <x v="840"/>
    <x v="24"/>
    <x v="5"/>
    <x v="2"/>
    <x v="55"/>
    <x v="474"/>
    <n v="38.3"/>
    <n v="7.2"/>
    <s v="Warner Bros."/>
    <n v="-22.8"/>
    <n v="-37.3"/>
  </r>
  <r>
    <n v="842"/>
    <x v="841"/>
    <x v="21"/>
    <x v="3"/>
    <x v="1"/>
    <x v="2"/>
    <x v="624"/>
    <n v="52.1"/>
    <n v="6"/>
    <s v="Yash Raj Films"/>
    <n v="37"/>
    <n v="245"/>
  </r>
  <r>
    <n v="843"/>
    <x v="842"/>
    <x v="18"/>
    <x v="7"/>
    <x v="3"/>
    <x v="73"/>
    <x v="176"/>
    <n v="45"/>
    <n v="6.9"/>
    <s v="Pixar"/>
    <n v="14.9"/>
    <n v="49.5"/>
  </r>
  <r>
    <n v="844"/>
    <x v="843"/>
    <x v="24"/>
    <x v="4"/>
    <x v="2"/>
    <x v="3"/>
    <x v="625"/>
    <n v="93.90000000000001"/>
    <n v="6.2"/>
    <s v="Warner Bros."/>
    <n v="-6"/>
    <n v="-6"/>
  </r>
  <r>
    <n v="845"/>
    <x v="844"/>
    <x v="17"/>
    <x v="6"/>
    <x v="2"/>
    <x v="44"/>
    <x v="626"/>
    <n v="103.9"/>
    <n v="7.3"/>
    <s v="Marvel"/>
    <n v="54.3"/>
    <n v="109.5"/>
  </r>
  <r>
    <n v="846"/>
    <x v="845"/>
    <x v="14"/>
    <x v="1"/>
    <x v="5"/>
    <x v="9"/>
    <x v="627"/>
    <n v="357.8"/>
    <n v="6.1"/>
    <s v="20th Century Fox"/>
    <n v="284.4"/>
    <n v="387.5"/>
  </r>
  <r>
    <n v="847"/>
    <x v="846"/>
    <x v="12"/>
    <x v="9"/>
    <x v="2"/>
    <x v="72"/>
    <x v="628"/>
    <n v="69"/>
    <n v="6.5"/>
    <s v="Paramount"/>
    <n v="35.7"/>
    <n v="107.2"/>
  </r>
  <r>
    <n v="848"/>
    <x v="847"/>
    <x v="19"/>
    <x v="5"/>
    <x v="2"/>
    <x v="44"/>
    <x v="629"/>
    <n v="594.3"/>
    <n v="7.4"/>
    <s v="Sony Pictures"/>
    <n v="421.1"/>
    <n v="243.1"/>
  </r>
  <r>
    <n v="849"/>
    <x v="848"/>
    <x v="33"/>
    <x v="6"/>
    <x v="1"/>
    <x v="58"/>
    <x v="242"/>
    <n v="59.3"/>
    <n v="6.2"/>
    <s v="Yash Raj Films"/>
    <n v="38.8"/>
    <n v="189.3"/>
  </r>
  <r>
    <n v="850"/>
    <x v="849"/>
    <x v="32"/>
    <x v="0"/>
    <x v="4"/>
    <x v="99"/>
    <x v="630"/>
    <n v="656.6"/>
    <n v="9.5"/>
    <s v="A24"/>
    <n v="412.2"/>
    <n v="168.7"/>
  </r>
  <r>
    <n v="851"/>
    <x v="850"/>
    <x v="30"/>
    <x v="1"/>
    <x v="2"/>
    <x v="5"/>
    <x v="631"/>
    <n v="290"/>
    <n v="7.3"/>
    <s v="Warner Bros."/>
    <n v="187.8"/>
    <n v="183.8"/>
  </r>
  <r>
    <n v="852"/>
    <x v="851"/>
    <x v="5"/>
    <x v="0"/>
    <x v="4"/>
    <x v="53"/>
    <x v="632"/>
    <n v="155"/>
    <n v="7.5"/>
    <s v="Lionsgate"/>
    <n v="114.9"/>
    <n v="286.5"/>
  </r>
  <r>
    <n v="853"/>
    <x v="852"/>
    <x v="8"/>
    <x v="3"/>
    <x v="2"/>
    <x v="12"/>
    <x v="314"/>
    <n v="347"/>
    <n v="8.699999999999999"/>
    <s v="Lionsgate"/>
    <n v="253.6"/>
    <n v="271.5"/>
  </r>
  <r>
    <n v="854"/>
    <x v="853"/>
    <x v="35"/>
    <x v="1"/>
    <x v="1"/>
    <x v="52"/>
    <x v="144"/>
    <n v="13.6"/>
    <n v="6.8"/>
    <s v="Hombale Films"/>
    <n v="2.4"/>
    <n v="21.4"/>
  </r>
  <r>
    <n v="855"/>
    <x v="854"/>
    <x v="27"/>
    <x v="3"/>
    <x v="1"/>
    <x v="8"/>
    <x v="633"/>
    <n v="3.1"/>
    <n v="6"/>
    <s v="Mythri Movie Makers"/>
    <n v="-2.8"/>
    <n v="-47.5"/>
  </r>
  <r>
    <n v="856"/>
    <x v="855"/>
    <x v="9"/>
    <x v="5"/>
    <x v="1"/>
    <x v="79"/>
    <x v="634"/>
    <n v="24.2"/>
    <n v="8.699999999999999"/>
    <s v="Yash Raj Films"/>
    <n v="14.8"/>
    <n v="157.4"/>
  </r>
  <r>
    <n v="857"/>
    <x v="856"/>
    <x v="10"/>
    <x v="3"/>
    <x v="2"/>
    <x v="3"/>
    <x v="577"/>
    <n v="151.3"/>
    <n v="8.699999999999999"/>
    <s v="Lionsgate"/>
    <n v="101.5"/>
    <n v="203.8"/>
  </r>
  <r>
    <n v="858"/>
    <x v="857"/>
    <x v="21"/>
    <x v="3"/>
    <x v="1"/>
    <x v="2"/>
    <x v="633"/>
    <n v="2.9"/>
    <n v="5.2"/>
    <s v="Mythri Movie Makers"/>
    <n v="-3"/>
    <n v="-50.8"/>
  </r>
  <r>
    <n v="859"/>
    <x v="858"/>
    <x v="19"/>
    <x v="8"/>
    <x v="2"/>
    <x v="92"/>
    <x v="635"/>
    <n v="319.2"/>
    <n v="7.2"/>
    <s v="Pixar"/>
    <n v="200.1"/>
    <n v="168"/>
  </r>
  <r>
    <n v="860"/>
    <x v="859"/>
    <x v="18"/>
    <x v="0"/>
    <x v="1"/>
    <x v="58"/>
    <x v="290"/>
    <n v="52.7"/>
    <n v="8.199999999999999"/>
    <s v="Yash Raj Films"/>
    <n v="28.2"/>
    <n v="115.1"/>
  </r>
  <r>
    <n v="861"/>
    <x v="860"/>
    <x v="9"/>
    <x v="5"/>
    <x v="3"/>
    <x v="44"/>
    <x v="636"/>
    <n v="200.3"/>
    <n v="8.1"/>
    <s v="Sony Pictures"/>
    <n v="78.7"/>
    <n v="64.7"/>
  </r>
  <r>
    <n v="862"/>
    <x v="861"/>
    <x v="7"/>
    <x v="4"/>
    <x v="7"/>
    <x v="61"/>
    <x v="568"/>
    <n v="46.4"/>
    <n v="7.9"/>
    <s v="Pixar"/>
    <n v="23.3"/>
    <n v="100.9"/>
  </r>
  <r>
    <n v="863"/>
    <x v="862"/>
    <x v="4"/>
    <x v="9"/>
    <x v="1"/>
    <x v="13"/>
    <x v="521"/>
    <n v="18.7"/>
    <n v="7.7"/>
    <s v="Hombale Films"/>
    <n v="11.5"/>
    <n v="159.7"/>
  </r>
  <r>
    <n v="864"/>
    <x v="863"/>
    <x v="7"/>
    <x v="3"/>
    <x v="3"/>
    <x v="2"/>
    <x v="637"/>
    <n v="182.3"/>
    <n v="7.5"/>
    <s v="Warner Bros."/>
    <n v="70.40000000000001"/>
    <n v="62.9"/>
  </r>
  <r>
    <n v="865"/>
    <x v="864"/>
    <x v="7"/>
    <x v="0"/>
    <x v="2"/>
    <x v="57"/>
    <x v="638"/>
    <n v="43.8"/>
    <n v="5.6"/>
    <s v="Disney"/>
    <n v="11.1"/>
    <n v="33.9"/>
  </r>
  <r>
    <n v="866"/>
    <x v="865"/>
    <x v="6"/>
    <x v="6"/>
    <x v="2"/>
    <x v="35"/>
    <x v="25"/>
    <n v="82.2"/>
    <n v="5.5"/>
    <s v="Marvel"/>
    <n v="58"/>
    <n v="239.7"/>
  </r>
  <r>
    <n v="867"/>
    <x v="866"/>
    <x v="7"/>
    <x v="7"/>
    <x v="1"/>
    <x v="13"/>
    <x v="639"/>
    <n v="3"/>
    <n v="9"/>
    <s v="Hombale Films"/>
    <n v="-0.4"/>
    <n v="-11.8"/>
  </r>
  <r>
    <n v="868"/>
    <x v="867"/>
    <x v="17"/>
    <x v="1"/>
    <x v="1"/>
    <x v="8"/>
    <x v="640"/>
    <n v="1.9"/>
    <n v="8.9"/>
    <s v="Hombale Films"/>
    <n v="-1.4"/>
    <n v="-42.4"/>
  </r>
  <r>
    <n v="869"/>
    <x v="868"/>
    <x v="19"/>
    <x v="6"/>
    <x v="1"/>
    <x v="25"/>
    <x v="258"/>
    <n v="14.8"/>
    <n v="7.1"/>
    <s v="Mythri Movie Makers"/>
    <n v="9.4"/>
    <n v="174.1"/>
  </r>
  <r>
    <n v="870"/>
    <x v="869"/>
    <x v="19"/>
    <x v="1"/>
    <x v="2"/>
    <x v="67"/>
    <x v="486"/>
    <n v="37.6"/>
    <n v="6.8"/>
    <s v="A24"/>
    <n v="-14.3"/>
    <n v="-27.6"/>
  </r>
  <r>
    <n v="871"/>
    <x v="870"/>
    <x v="24"/>
    <x v="3"/>
    <x v="1"/>
    <x v="66"/>
    <x v="395"/>
    <n v="1.6"/>
    <n v="9.199999999999999"/>
    <s v="Aamir Khan Productions"/>
    <n v="-2.7"/>
    <n v="-62.8"/>
  </r>
  <r>
    <n v="872"/>
    <x v="871"/>
    <x v="10"/>
    <x v="6"/>
    <x v="2"/>
    <x v="114"/>
    <x v="39"/>
    <n v="123"/>
    <n v="7.3"/>
    <s v="Sony Pictures"/>
    <n v="74.3"/>
    <n v="152.6"/>
  </r>
  <r>
    <n v="873"/>
    <x v="872"/>
    <x v="7"/>
    <x v="3"/>
    <x v="1"/>
    <x v="14"/>
    <x v="107"/>
    <n v="46.1"/>
    <n v="6.6"/>
    <s v="Yash Raj Films"/>
    <n v="26.1"/>
    <n v="130.5"/>
  </r>
  <r>
    <n v="874"/>
    <x v="873"/>
    <x v="7"/>
    <x v="4"/>
    <x v="2"/>
    <x v="46"/>
    <x v="641"/>
    <n v="110.7"/>
    <n v="8.800000000000001"/>
    <s v="20th Century Fox"/>
    <n v="49.8"/>
    <n v="81.8"/>
  </r>
  <r>
    <n v="875"/>
    <x v="874"/>
    <x v="7"/>
    <x v="1"/>
    <x v="2"/>
    <x v="57"/>
    <x v="642"/>
    <n v="146.2"/>
    <n v="6.1"/>
    <s v="20th Century Fox"/>
    <n v="-71.59999999999999"/>
    <n v="-32.9"/>
  </r>
  <r>
    <n v="876"/>
    <x v="875"/>
    <x v="4"/>
    <x v="3"/>
    <x v="5"/>
    <x v="44"/>
    <x v="643"/>
    <n v="832.5"/>
    <n v="6.5"/>
    <s v="Disney"/>
    <n v="576"/>
    <n v="224.6"/>
  </r>
  <r>
    <n v="877"/>
    <x v="876"/>
    <x v="3"/>
    <x v="6"/>
    <x v="2"/>
    <x v="57"/>
    <x v="535"/>
    <n v="139.9"/>
    <n v="7.1"/>
    <s v="Universal"/>
    <n v="108"/>
    <n v="338.6"/>
  </r>
  <r>
    <n v="878"/>
    <x v="877"/>
    <x v="14"/>
    <x v="0"/>
    <x v="6"/>
    <x v="57"/>
    <x v="644"/>
    <n v="268.5"/>
    <n v="7.7"/>
    <s v="Universal"/>
    <n v="171.2"/>
    <n v="176"/>
  </r>
  <r>
    <n v="879"/>
    <x v="878"/>
    <x v="8"/>
    <x v="0"/>
    <x v="2"/>
    <x v="101"/>
    <x v="645"/>
    <n v="153.7"/>
    <n v="7.7"/>
    <s v="Sony Pictures"/>
    <n v="31.8"/>
    <n v="26.1"/>
  </r>
  <r>
    <n v="880"/>
    <x v="879"/>
    <x v="19"/>
    <x v="8"/>
    <x v="2"/>
    <x v="25"/>
    <x v="646"/>
    <n v="348.2"/>
    <n v="7.5"/>
    <s v="A24"/>
    <n v="248.5"/>
    <n v="249.2"/>
  </r>
  <r>
    <n v="881"/>
    <x v="880"/>
    <x v="30"/>
    <x v="7"/>
    <x v="2"/>
    <x v="58"/>
    <x v="647"/>
    <n v="384.2"/>
    <n v="7.9"/>
    <s v="Disney"/>
    <n v="190"/>
    <n v="97.8"/>
  </r>
  <r>
    <n v="882"/>
    <x v="881"/>
    <x v="35"/>
    <x v="8"/>
    <x v="3"/>
    <x v="109"/>
    <x v="648"/>
    <n v="64.3"/>
    <n v="7.9"/>
    <s v="Disney"/>
    <n v="-2.5"/>
    <n v="-3.7"/>
  </r>
  <r>
    <n v="883"/>
    <x v="882"/>
    <x v="3"/>
    <x v="5"/>
    <x v="4"/>
    <x v="65"/>
    <x v="649"/>
    <n v="227.1"/>
    <n v="7.7"/>
    <s v="Disney"/>
    <n v="117.3"/>
    <n v="106.8"/>
  </r>
  <r>
    <n v="884"/>
    <x v="883"/>
    <x v="7"/>
    <x v="9"/>
    <x v="1"/>
    <x v="55"/>
    <x v="612"/>
    <n v="3.7"/>
    <n v="6.1"/>
    <s v="Panorama Studios"/>
    <n v="-2.3"/>
    <n v="-38.3"/>
  </r>
  <r>
    <n v="885"/>
    <x v="884"/>
    <x v="16"/>
    <x v="1"/>
    <x v="2"/>
    <x v="30"/>
    <x v="650"/>
    <n v="139.9"/>
    <n v="7.2"/>
    <s v="20th Century Fox"/>
    <n v="-11.5"/>
    <n v="-7.6"/>
  </r>
  <r>
    <n v="886"/>
    <x v="885"/>
    <x v="20"/>
    <x v="0"/>
    <x v="1"/>
    <x v="46"/>
    <x v="433"/>
    <n v="35.7"/>
    <n v="7.5"/>
    <s v="Hombale Films"/>
    <n v="11.8"/>
    <n v="49.4"/>
  </r>
  <r>
    <n v="887"/>
    <x v="886"/>
    <x v="21"/>
    <x v="4"/>
    <x v="1"/>
    <x v="73"/>
    <x v="175"/>
    <n v="11.2"/>
    <n v="6.1"/>
    <s v="Panorama Studios"/>
    <n v="4.5"/>
    <n v="67.2"/>
  </r>
  <r>
    <n v="888"/>
    <x v="887"/>
    <x v="16"/>
    <x v="7"/>
    <x v="2"/>
    <x v="90"/>
    <x v="164"/>
    <n v="102.9"/>
    <n v="8.4"/>
    <s v="Sony Pictures"/>
    <n v="82.7"/>
    <n v="409.4"/>
  </r>
  <r>
    <n v="889"/>
    <x v="888"/>
    <x v="22"/>
    <x v="5"/>
    <x v="2"/>
    <x v="3"/>
    <x v="443"/>
    <n v="100.4"/>
    <n v="7"/>
    <s v="Marvel"/>
    <n v="58.9"/>
    <n v="141.9"/>
  </r>
  <r>
    <n v="890"/>
    <x v="889"/>
    <x v="15"/>
    <x v="6"/>
    <x v="2"/>
    <x v="73"/>
    <x v="587"/>
    <n v="253.4"/>
    <n v="7"/>
    <s v="Paramount"/>
    <n v="195"/>
    <n v="333.9"/>
  </r>
  <r>
    <n v="891"/>
    <x v="890"/>
    <x v="33"/>
    <x v="6"/>
    <x v="1"/>
    <x v="49"/>
    <x v="300"/>
    <n v="83.5"/>
    <n v="6.9"/>
    <s v="Aamir Khan Productions"/>
    <n v="55.2"/>
    <n v="195.1"/>
  </r>
  <r>
    <n v="892"/>
    <x v="891"/>
    <x v="1"/>
    <x v="2"/>
    <x v="2"/>
    <x v="44"/>
    <x v="443"/>
    <n v="135.9"/>
    <n v="5.3"/>
    <s v="20th Century Fox"/>
    <n v="94.40000000000001"/>
    <n v="227.5"/>
  </r>
  <r>
    <n v="893"/>
    <x v="892"/>
    <x v="16"/>
    <x v="3"/>
    <x v="1"/>
    <x v="18"/>
    <x v="651"/>
    <n v="9.6"/>
    <n v="6.9"/>
    <s v="Hombale Films"/>
    <n v="5.5"/>
    <n v="134.1"/>
  </r>
  <r>
    <n v="894"/>
    <x v="893"/>
    <x v="4"/>
    <x v="9"/>
    <x v="6"/>
    <x v="71"/>
    <x v="652"/>
    <n v="240.5"/>
    <n v="7.2"/>
    <s v="Universal"/>
    <n v="153"/>
    <n v="174.9"/>
  </r>
  <r>
    <n v="895"/>
    <x v="894"/>
    <x v="27"/>
    <x v="0"/>
    <x v="2"/>
    <x v="62"/>
    <x v="525"/>
    <n v="171.2"/>
    <n v="6.9"/>
    <s v="Universal"/>
    <n v="103"/>
    <n v="151"/>
  </r>
  <r>
    <n v="896"/>
    <x v="895"/>
    <x v="26"/>
    <x v="0"/>
    <x v="6"/>
    <x v="63"/>
    <x v="653"/>
    <n v="74.3"/>
    <n v="7.6"/>
    <s v="A24"/>
    <n v="13.1"/>
    <n v="21.4"/>
  </r>
  <r>
    <n v="897"/>
    <x v="896"/>
    <x v="15"/>
    <x v="5"/>
    <x v="2"/>
    <x v="43"/>
    <x v="654"/>
    <n v="124.3"/>
    <n v="6.5"/>
    <s v="Sony Pictures"/>
    <n v="84.8"/>
    <n v="214.7"/>
  </r>
  <r>
    <n v="898"/>
    <x v="897"/>
    <x v="22"/>
    <x v="5"/>
    <x v="6"/>
    <x v="17"/>
    <x v="655"/>
    <n v="164.1"/>
    <n v="7.6"/>
    <s v="Universal"/>
    <n v="114.7"/>
    <n v="232.2"/>
  </r>
  <r>
    <n v="899"/>
    <x v="898"/>
    <x v="19"/>
    <x v="1"/>
    <x v="2"/>
    <x v="11"/>
    <x v="656"/>
    <n v="179.7"/>
    <n v="7.1"/>
    <s v="Universal"/>
    <n v="105.2"/>
    <n v="141.2"/>
  </r>
  <r>
    <n v="900"/>
    <x v="899"/>
    <x v="27"/>
    <x v="7"/>
    <x v="2"/>
    <x v="1"/>
    <x v="83"/>
    <n v="149.1"/>
    <n v="8.4"/>
    <s v="Pixar"/>
    <n v="124.3"/>
    <n v="501.2"/>
  </r>
  <r>
    <n v="901"/>
    <x v="900"/>
    <x v="32"/>
    <x v="9"/>
    <x v="1"/>
    <x v="46"/>
    <x v="589"/>
    <n v="4.1"/>
    <n v="7.1"/>
    <s v="Hombale Films"/>
    <n v="-1"/>
    <n v="-19.6"/>
  </r>
  <r>
    <n v="902"/>
    <x v="901"/>
    <x v="16"/>
    <x v="9"/>
    <x v="2"/>
    <x v="54"/>
    <x v="67"/>
    <n v="61.8"/>
    <n v="4.2"/>
    <s v="Paramount"/>
    <n v="39.1"/>
    <n v="172.2"/>
  </r>
  <r>
    <n v="903"/>
    <x v="902"/>
    <x v="14"/>
    <x v="9"/>
    <x v="2"/>
    <x v="57"/>
    <x v="657"/>
    <n v="248.4"/>
    <n v="8.5"/>
    <s v="20th Century Fox"/>
    <n v="178.6"/>
    <n v="255.9"/>
  </r>
  <r>
    <n v="904"/>
    <x v="903"/>
    <x v="15"/>
    <x v="4"/>
    <x v="2"/>
    <x v="20"/>
    <x v="565"/>
    <n v="135.5"/>
    <n v="6.4"/>
    <s v="Pixar"/>
    <n v="104.2"/>
    <n v="332.9"/>
  </r>
  <r>
    <n v="905"/>
    <x v="904"/>
    <x v="1"/>
    <x v="3"/>
    <x v="1"/>
    <x v="40"/>
    <x v="110"/>
    <n v="9.9"/>
    <n v="7.1"/>
    <s v="Yash Raj Films"/>
    <n v="1.4"/>
    <n v="16.5"/>
  </r>
  <r>
    <n v="906"/>
    <x v="905"/>
    <x v="27"/>
    <x v="3"/>
    <x v="2"/>
    <x v="6"/>
    <x v="370"/>
    <n v="62.2"/>
    <n v="6.5"/>
    <s v="Marvel"/>
    <n v="33.7"/>
    <n v="118.2"/>
  </r>
  <r>
    <n v="907"/>
    <x v="906"/>
    <x v="24"/>
    <x v="5"/>
    <x v="5"/>
    <x v="15"/>
    <x v="638"/>
    <n v="107.8"/>
    <n v="7.7"/>
    <s v="Sony Pictures"/>
    <n v="75.09999999999999"/>
    <n v="229.7"/>
  </r>
  <r>
    <n v="908"/>
    <x v="907"/>
    <x v="22"/>
    <x v="9"/>
    <x v="2"/>
    <x v="69"/>
    <x v="658"/>
    <n v="129.6"/>
    <n v="7.5"/>
    <s v="Universal"/>
    <n v="48.9"/>
    <n v="60.6"/>
  </r>
  <r>
    <n v="909"/>
    <x v="908"/>
    <x v="15"/>
    <x v="1"/>
    <x v="2"/>
    <x v="18"/>
    <x v="659"/>
    <n v="121.8"/>
    <n v="7.7"/>
    <s v="Paramount"/>
    <n v="35"/>
    <n v="40.3"/>
  </r>
  <r>
    <n v="910"/>
    <x v="909"/>
    <x v="8"/>
    <x v="1"/>
    <x v="2"/>
    <x v="71"/>
    <x v="660"/>
    <n v="630"/>
    <n v="6.9"/>
    <s v="A24"/>
    <n v="443.2"/>
    <n v="237.3"/>
  </r>
  <r>
    <n v="911"/>
    <x v="910"/>
    <x v="9"/>
    <x v="1"/>
    <x v="7"/>
    <x v="58"/>
    <x v="350"/>
    <n v="137.7"/>
    <n v="7"/>
    <s v="Sony Pictures"/>
    <n v="101.5"/>
    <n v="280.4"/>
  </r>
  <r>
    <n v="912"/>
    <x v="911"/>
    <x v="8"/>
    <x v="6"/>
    <x v="2"/>
    <x v="79"/>
    <x v="398"/>
    <n v="218.4"/>
    <n v="6.7"/>
    <s v="Paramount"/>
    <n v="158.6"/>
    <n v="265.2"/>
  </r>
  <r>
    <n v="913"/>
    <x v="912"/>
    <x v="2"/>
    <x v="2"/>
    <x v="2"/>
    <x v="21"/>
    <x v="46"/>
    <n v="52.5"/>
    <n v="4"/>
    <s v="Universal"/>
    <n v="17.3"/>
    <n v="49.1"/>
  </r>
  <r>
    <n v="914"/>
    <x v="913"/>
    <x v="33"/>
    <x v="3"/>
    <x v="1"/>
    <x v="79"/>
    <x v="535"/>
    <n v="87.2"/>
    <n v="5.7"/>
    <s v="Aamir Khan Productions"/>
    <n v="55.3"/>
    <n v="173.4"/>
  </r>
  <r>
    <n v="915"/>
    <x v="914"/>
    <x v="29"/>
    <x v="4"/>
    <x v="2"/>
    <x v="44"/>
    <x v="289"/>
    <n v="57.2"/>
    <n v="7.4"/>
    <s v="Pixar"/>
    <n v="-33.8"/>
    <n v="-37.1"/>
  </r>
  <r>
    <n v="916"/>
    <x v="915"/>
    <x v="16"/>
    <x v="9"/>
    <x v="3"/>
    <x v="44"/>
    <x v="661"/>
    <n v="165.4"/>
    <n v="7.3"/>
    <s v="Marvel"/>
    <n v="115.2"/>
    <n v="229.5"/>
  </r>
  <r>
    <n v="917"/>
    <x v="916"/>
    <x v="12"/>
    <x v="8"/>
    <x v="2"/>
    <x v="68"/>
    <x v="662"/>
    <n v="81.7"/>
    <n v="7.6"/>
    <s v="Universal"/>
    <n v="6.1"/>
    <n v="8.1"/>
  </r>
  <r>
    <n v="918"/>
    <x v="917"/>
    <x v="7"/>
    <x v="8"/>
    <x v="1"/>
    <x v="58"/>
    <x v="521"/>
    <n v="15.2"/>
    <n v="7.8"/>
    <s v="Panorama Studios"/>
    <n v="8"/>
    <n v="111.1"/>
  </r>
  <r>
    <n v="919"/>
    <x v="918"/>
    <x v="25"/>
    <x v="3"/>
    <x v="2"/>
    <x v="72"/>
    <x v="663"/>
    <n v="831.9"/>
    <n v="8"/>
    <s v="Sony Pictures"/>
    <n v="664.7"/>
    <n v="397.5"/>
  </r>
  <r>
    <n v="920"/>
    <x v="919"/>
    <x v="17"/>
    <x v="9"/>
    <x v="2"/>
    <x v="8"/>
    <x v="664"/>
    <n v="94.5"/>
    <n v="6.2"/>
    <s v="20th Century Fox"/>
    <n v="50.8"/>
    <n v="116.2"/>
  </r>
  <r>
    <n v="921"/>
    <x v="920"/>
    <x v="11"/>
    <x v="0"/>
    <x v="4"/>
    <x v="53"/>
    <x v="519"/>
    <n v="23.8"/>
    <n v="5.3"/>
    <s v="Universal"/>
    <n v="-1.5"/>
    <n v="-5.9"/>
  </r>
  <r>
    <n v="922"/>
    <x v="921"/>
    <x v="34"/>
    <x v="8"/>
    <x v="2"/>
    <x v="34"/>
    <x v="665"/>
    <n v="174.9"/>
    <n v="8.800000000000001"/>
    <s v="Marvel"/>
    <n v="-0.9"/>
    <n v="-0.5"/>
  </r>
  <r>
    <n v="923"/>
    <x v="922"/>
    <x v="23"/>
    <x v="3"/>
    <x v="2"/>
    <x v="6"/>
    <x v="248"/>
    <n v="60.9"/>
    <n v="9"/>
    <s v="Warner Bros."/>
    <n v="-40.5"/>
    <n v="-39.9"/>
  </r>
  <r>
    <n v="924"/>
    <x v="923"/>
    <x v="29"/>
    <x v="2"/>
    <x v="1"/>
    <x v="68"/>
    <x v="666"/>
    <n v="10.5"/>
    <n v="6.2"/>
    <s v="Hombale Films"/>
    <n v="2.9"/>
    <n v="38.2"/>
  </r>
  <r>
    <n v="925"/>
    <x v="924"/>
    <x v="0"/>
    <x v="3"/>
    <x v="2"/>
    <x v="21"/>
    <x v="667"/>
    <n v="112.9"/>
    <n v="8.5"/>
    <s v="A24"/>
    <n v="68.3"/>
    <n v="153.1"/>
  </r>
  <r>
    <n v="926"/>
    <x v="925"/>
    <x v="2"/>
    <x v="7"/>
    <x v="2"/>
    <x v="35"/>
    <x v="668"/>
    <n v="153.3"/>
    <n v="6"/>
    <s v="Universal"/>
    <n v="98"/>
    <n v="177.2"/>
  </r>
  <r>
    <n v="927"/>
    <x v="926"/>
    <x v="8"/>
    <x v="1"/>
    <x v="2"/>
    <x v="24"/>
    <x v="372"/>
    <n v="135.9"/>
    <n v="7.6"/>
    <s v="Marvel"/>
    <n v="94.7"/>
    <n v="229.9"/>
  </r>
  <r>
    <n v="928"/>
    <x v="927"/>
    <x v="13"/>
    <x v="6"/>
    <x v="1"/>
    <x v="71"/>
    <x v="669"/>
    <n v="36.6"/>
    <n v="8"/>
    <s v="Aamir Khan Productions"/>
    <n v="6.7"/>
    <n v="22.4"/>
  </r>
  <r>
    <n v="929"/>
    <x v="928"/>
    <x v="31"/>
    <x v="5"/>
    <x v="5"/>
    <x v="2"/>
    <x v="18"/>
    <n v="68.7"/>
    <n v="7.9"/>
    <s v="Pixar"/>
    <n v="29.9"/>
    <n v="77.09999999999999"/>
  </r>
  <r>
    <n v="930"/>
    <x v="929"/>
    <x v="25"/>
    <x v="4"/>
    <x v="0"/>
    <x v="26"/>
    <x v="670"/>
    <n v="705.9"/>
    <n v="6.7"/>
    <s v="CJ Entertainment"/>
    <n v="563.8"/>
    <n v="396.8"/>
  </r>
  <r>
    <n v="931"/>
    <x v="930"/>
    <x v="18"/>
    <x v="4"/>
    <x v="2"/>
    <x v="6"/>
    <x v="671"/>
    <n v="637.3"/>
    <n v="6.8"/>
    <s v="Warner Bros."/>
    <n v="521.9"/>
    <n v="452.3"/>
  </r>
  <r>
    <n v="932"/>
    <x v="931"/>
    <x v="24"/>
    <x v="5"/>
    <x v="2"/>
    <x v="32"/>
    <x v="576"/>
    <n v="17.2"/>
    <n v="6.4"/>
    <s v="Universal"/>
    <n v="-17.8"/>
    <n v="-50.9"/>
  </r>
  <r>
    <n v="933"/>
    <x v="932"/>
    <x v="28"/>
    <x v="0"/>
    <x v="1"/>
    <x v="71"/>
    <x v="144"/>
    <n v="10"/>
    <n v="8.199999999999999"/>
    <s v="Hombale Films"/>
    <n v="-1.2"/>
    <n v="-10.7"/>
  </r>
  <r>
    <n v="934"/>
    <x v="933"/>
    <x v="20"/>
    <x v="9"/>
    <x v="2"/>
    <x v="45"/>
    <x v="470"/>
    <n v="86.40000000000001"/>
    <n v="6.5"/>
    <s v="Paramount"/>
    <n v="18.3"/>
    <n v="26.9"/>
  </r>
  <r>
    <n v="935"/>
    <x v="934"/>
    <x v="6"/>
    <x v="1"/>
    <x v="1"/>
    <x v="95"/>
    <x v="672"/>
    <n v="45.2"/>
    <n v="7.7"/>
    <s v="Mythri Movie Makers"/>
    <n v="29.7"/>
    <n v="191.6"/>
  </r>
  <r>
    <n v="936"/>
    <x v="935"/>
    <x v="8"/>
    <x v="6"/>
    <x v="2"/>
    <x v="69"/>
    <x v="673"/>
    <n v="342.7"/>
    <n v="6.4"/>
    <s v="Warner Bros."/>
    <n v="236.5"/>
    <n v="222.7"/>
  </r>
  <r>
    <n v="937"/>
    <x v="936"/>
    <x v="29"/>
    <x v="2"/>
    <x v="2"/>
    <x v="59"/>
    <x v="164"/>
    <n v="105.5"/>
    <n v="7.3"/>
    <s v="20th Century Fox"/>
    <n v="85.3"/>
    <n v="422.3"/>
  </r>
  <r>
    <n v="938"/>
    <x v="937"/>
    <x v="11"/>
    <x v="3"/>
    <x v="4"/>
    <x v="72"/>
    <x v="674"/>
    <n v="72.90000000000001"/>
    <n v="7.1"/>
    <s v="Sony Pictures"/>
    <n v="42.2"/>
    <n v="137.5"/>
  </r>
  <r>
    <n v="939"/>
    <x v="938"/>
    <x v="28"/>
    <x v="6"/>
    <x v="1"/>
    <x v="11"/>
    <x v="675"/>
    <n v="27.4"/>
    <n v="6.1"/>
    <s v="Panorama Studios"/>
    <n v="7.1"/>
    <n v="35"/>
  </r>
  <r>
    <n v="940"/>
    <x v="939"/>
    <x v="26"/>
    <x v="9"/>
    <x v="2"/>
    <x v="15"/>
    <x v="283"/>
    <n v="200.4"/>
    <n v="7.6"/>
    <s v="Sony Pictures"/>
    <n v="124.1"/>
    <n v="162.6"/>
  </r>
  <r>
    <n v="941"/>
    <x v="940"/>
    <x v="32"/>
    <x v="3"/>
    <x v="4"/>
    <x v="1"/>
    <x v="96"/>
    <n v="107.5"/>
    <n v="6.1"/>
    <s v="Warner Bros."/>
    <n v="78.59999999999999"/>
    <n v="272"/>
  </r>
  <r>
    <n v="942"/>
    <x v="941"/>
    <x v="1"/>
    <x v="8"/>
    <x v="2"/>
    <x v="4"/>
    <x v="476"/>
    <n v="195.2"/>
    <n v="6"/>
    <s v="Paramount"/>
    <n v="132.1"/>
    <n v="209.4"/>
  </r>
  <r>
    <n v="943"/>
    <x v="942"/>
    <x v="32"/>
    <x v="3"/>
    <x v="2"/>
    <x v="10"/>
    <x v="676"/>
    <n v="186.8"/>
    <n v="7.8"/>
    <s v="A24"/>
    <n v="134.5"/>
    <n v="257.2"/>
  </r>
  <r>
    <n v="944"/>
    <x v="943"/>
    <x v="7"/>
    <x v="1"/>
    <x v="1"/>
    <x v="0"/>
    <x v="139"/>
    <n v="66.09999999999999"/>
    <n v="7"/>
    <s v="Aamir Khan Productions"/>
    <n v="39.8"/>
    <n v="151.3"/>
  </r>
  <r>
    <n v="945"/>
    <x v="944"/>
    <x v="25"/>
    <x v="3"/>
    <x v="7"/>
    <x v="72"/>
    <x v="326"/>
    <n v="418.5"/>
    <n v="7"/>
    <s v="Sony Pictures"/>
    <n v="321.9"/>
    <n v="333.2"/>
  </r>
  <r>
    <n v="946"/>
    <x v="945"/>
    <x v="1"/>
    <x v="0"/>
    <x v="0"/>
    <x v="8"/>
    <x v="677"/>
    <n v="681.7"/>
    <n v="7.5"/>
    <s v="CJ Entertainment"/>
    <n v="495.2"/>
    <n v="265.5"/>
  </r>
  <r>
    <n v="947"/>
    <x v="946"/>
    <x v="3"/>
    <x v="6"/>
    <x v="1"/>
    <x v="97"/>
    <x v="112"/>
    <n v="13.6"/>
    <n v="5.7"/>
    <s v="Panorama Studios"/>
    <n v="4.7"/>
    <n v="52.8"/>
  </r>
  <r>
    <n v="948"/>
    <x v="947"/>
    <x v="19"/>
    <x v="9"/>
    <x v="1"/>
    <x v="40"/>
    <x v="232"/>
    <n v="4"/>
    <n v="6.2"/>
    <s v="Panorama Studios"/>
    <n v="-4.3"/>
    <n v="-51.8"/>
  </r>
  <r>
    <n v="949"/>
    <x v="948"/>
    <x v="15"/>
    <x v="3"/>
    <x v="2"/>
    <x v="70"/>
    <x v="678"/>
    <n v="54.8"/>
    <n v="7.4"/>
    <s v="Universal"/>
    <n v="33.8"/>
    <n v="161"/>
  </r>
  <r>
    <n v="950"/>
    <x v="949"/>
    <x v="25"/>
    <x v="1"/>
    <x v="2"/>
    <x v="72"/>
    <x v="679"/>
    <n v="388.3"/>
    <n v="8.4"/>
    <s v="Disney"/>
    <n v="283.2"/>
    <n v="269.5"/>
  </r>
  <r>
    <n v="951"/>
    <x v="950"/>
    <x v="5"/>
    <x v="1"/>
    <x v="2"/>
    <x v="96"/>
    <x v="552"/>
    <n v="290.1"/>
    <n v="7.1"/>
    <s v="Sony Pictures"/>
    <n v="226"/>
    <n v="352.6"/>
  </r>
  <r>
    <n v="952"/>
    <x v="951"/>
    <x v="10"/>
    <x v="6"/>
    <x v="2"/>
    <x v="93"/>
    <x v="197"/>
    <n v="86.5"/>
    <n v="6.2"/>
    <s v="Pixar"/>
    <n v="38"/>
    <n v="78.40000000000001"/>
  </r>
  <r>
    <n v="953"/>
    <x v="952"/>
    <x v="26"/>
    <x v="1"/>
    <x v="1"/>
    <x v="33"/>
    <x v="680"/>
    <n v="110.2"/>
    <n v="7.3"/>
    <s v="Aamir Khan Productions"/>
    <n v="69.8"/>
    <n v="172.8"/>
  </r>
  <r>
    <n v="954"/>
    <x v="953"/>
    <x v="18"/>
    <x v="3"/>
    <x v="1"/>
    <x v="42"/>
    <x v="110"/>
    <n v="16.5"/>
    <n v="5.7"/>
    <s v="Aamir Khan Productions"/>
    <n v="8"/>
    <n v="94.09999999999999"/>
  </r>
  <r>
    <n v="955"/>
    <x v="954"/>
    <x v="10"/>
    <x v="8"/>
    <x v="2"/>
    <x v="1"/>
    <x v="681"/>
    <n v="194"/>
    <n v="8.5"/>
    <s v="Disney"/>
    <n v="95.59999999999999"/>
    <n v="97.2"/>
  </r>
  <r>
    <n v="956"/>
    <x v="955"/>
    <x v="13"/>
    <x v="9"/>
    <x v="2"/>
    <x v="36"/>
    <x v="144"/>
    <n v="20.6"/>
    <n v="8.6"/>
    <s v="Pixar"/>
    <n v="9.4"/>
    <n v="83.90000000000001"/>
  </r>
  <r>
    <n v="957"/>
    <x v="956"/>
    <x v="31"/>
    <x v="1"/>
    <x v="2"/>
    <x v="21"/>
    <x v="471"/>
    <n v="38.5"/>
    <n v="5.5"/>
    <s v="Paramount"/>
    <n v="14.1"/>
    <n v="57.8"/>
  </r>
  <r>
    <n v="958"/>
    <x v="957"/>
    <x v="34"/>
    <x v="1"/>
    <x v="2"/>
    <x v="4"/>
    <x v="591"/>
    <n v="141.9"/>
    <n v="8"/>
    <s v="Lionsgate"/>
    <n v="84.90000000000001"/>
    <n v="148.9"/>
  </r>
  <r>
    <n v="959"/>
    <x v="958"/>
    <x v="21"/>
    <x v="2"/>
    <x v="2"/>
    <x v="6"/>
    <x v="443"/>
    <n v="213.2"/>
    <n v="7.1"/>
    <s v="20th Century Fox"/>
    <n v="171.7"/>
    <n v="413.7"/>
  </r>
  <r>
    <n v="960"/>
    <x v="959"/>
    <x v="19"/>
    <x v="3"/>
    <x v="2"/>
    <x v="99"/>
    <x v="506"/>
    <n v="65.5"/>
    <n v="7.4"/>
    <s v="Lionsgate"/>
    <n v="36.8"/>
    <n v="128.2"/>
  </r>
  <r>
    <n v="961"/>
    <x v="960"/>
    <x v="4"/>
    <x v="3"/>
    <x v="1"/>
    <x v="30"/>
    <x v="419"/>
    <n v="4.6"/>
    <n v="7"/>
    <s v="Hombale Films"/>
    <n v="1.4"/>
    <n v="43.7"/>
  </r>
  <r>
    <n v="962"/>
    <x v="961"/>
    <x v="16"/>
    <x v="1"/>
    <x v="2"/>
    <x v="57"/>
    <x v="109"/>
    <n v="2086.5"/>
    <n v="7.5"/>
    <s v="Warner Bros."/>
    <n v="1686.5"/>
    <n v="421.6"/>
  </r>
  <r>
    <n v="963"/>
    <x v="962"/>
    <x v="21"/>
    <x v="4"/>
    <x v="0"/>
    <x v="51"/>
    <x v="72"/>
    <n v="385.7"/>
    <n v="7.4"/>
    <s v="CJ Entertainment"/>
    <n v="286.6"/>
    <n v="289.2"/>
  </r>
  <r>
    <n v="964"/>
    <x v="963"/>
    <x v="8"/>
    <x v="6"/>
    <x v="2"/>
    <x v="7"/>
    <x v="409"/>
    <n v="128.4"/>
    <n v="7.9"/>
    <s v="Paramount"/>
    <n v="87.5"/>
    <n v="213.9"/>
  </r>
  <r>
    <n v="965"/>
    <x v="964"/>
    <x v="7"/>
    <x v="7"/>
    <x v="1"/>
    <x v="58"/>
    <x v="60"/>
    <n v="38.7"/>
    <n v="8.1"/>
    <s v="Panorama Studios"/>
    <n v="28.9"/>
    <n v="294.9"/>
  </r>
  <r>
    <n v="966"/>
    <x v="965"/>
    <x v="6"/>
    <x v="8"/>
    <x v="6"/>
    <x v="93"/>
    <x v="47"/>
    <n v="194.1"/>
    <n v="6.1"/>
    <s v="Universal"/>
    <n v="90"/>
    <n v="86.5"/>
  </r>
  <r>
    <n v="967"/>
    <x v="966"/>
    <x v="23"/>
    <x v="5"/>
    <x v="2"/>
    <x v="27"/>
    <x v="682"/>
    <n v="119.1"/>
    <n v="8.6"/>
    <s v="Universal"/>
    <n v="56.2"/>
    <n v="89.3"/>
  </r>
  <r>
    <n v="968"/>
    <x v="967"/>
    <x v="4"/>
    <x v="9"/>
    <x v="2"/>
    <x v="105"/>
    <x v="683"/>
    <n v="197.8"/>
    <n v="6.8"/>
    <s v="Disney"/>
    <n v="128.3"/>
    <n v="184.6"/>
  </r>
  <r>
    <n v="969"/>
    <x v="968"/>
    <x v="25"/>
    <x v="3"/>
    <x v="2"/>
    <x v="40"/>
    <x v="684"/>
    <n v="417.8"/>
    <n v="6.7"/>
    <s v="Marvel"/>
    <n v="313.8"/>
    <n v="301.7"/>
  </r>
  <r>
    <n v="970"/>
    <x v="969"/>
    <x v="17"/>
    <x v="0"/>
    <x v="2"/>
    <x v="93"/>
    <x v="685"/>
    <n v="187.7"/>
    <n v="6.6"/>
    <s v="Pixar"/>
    <n v="-23.3"/>
    <n v="-11"/>
  </r>
  <r>
    <n v="971"/>
    <x v="970"/>
    <x v="11"/>
    <x v="1"/>
    <x v="1"/>
    <x v="21"/>
    <x v="382"/>
    <n v="27.1"/>
    <n v="6.6"/>
    <s v="Panorama Studios"/>
    <n v="12.2"/>
    <n v="81.90000000000001"/>
  </r>
  <r>
    <n v="972"/>
    <x v="971"/>
    <x v="10"/>
    <x v="9"/>
    <x v="1"/>
    <x v="38"/>
    <x v="634"/>
    <n v="20.3"/>
    <n v="6.6"/>
    <s v="Mythri Movie Makers"/>
    <n v="10.9"/>
    <n v="116"/>
  </r>
  <r>
    <n v="973"/>
    <x v="972"/>
    <x v="11"/>
    <x v="7"/>
    <x v="2"/>
    <x v="64"/>
    <x v="686"/>
    <n v="6.9"/>
    <n v="7"/>
    <s v="Pixar"/>
    <n v="-5.8"/>
    <n v="-45.7"/>
  </r>
  <r>
    <n v="974"/>
    <x v="973"/>
    <x v="7"/>
    <x v="6"/>
    <x v="1"/>
    <x v="57"/>
    <x v="232"/>
    <n v="13"/>
    <n v="8.6"/>
    <s v="Mythri Movie Makers"/>
    <n v="4.7"/>
    <n v="56.6"/>
  </r>
  <r>
    <n v="975"/>
    <x v="974"/>
    <x v="19"/>
    <x v="4"/>
    <x v="2"/>
    <x v="36"/>
    <x v="3"/>
    <n v="106.6"/>
    <n v="7.3"/>
    <s v="Lionsgate"/>
    <n v="48.1"/>
    <n v="82.2"/>
  </r>
  <r>
    <n v="976"/>
    <x v="975"/>
    <x v="21"/>
    <x v="7"/>
    <x v="2"/>
    <x v="14"/>
    <x v="545"/>
    <n v="113.5"/>
    <n v="7.2"/>
    <s v="Pixar"/>
    <n v="87.40000000000001"/>
    <n v="334.9"/>
  </r>
  <r>
    <n v="977"/>
    <x v="976"/>
    <x v="31"/>
    <x v="9"/>
    <x v="1"/>
    <x v="24"/>
    <x v="384"/>
    <n v="21.1"/>
    <n v="6.7"/>
    <s v="Hombale Films"/>
    <n v="11.2"/>
    <n v="113.1"/>
  </r>
  <r>
    <n v="978"/>
    <x v="977"/>
    <x v="0"/>
    <x v="1"/>
    <x v="2"/>
    <x v="88"/>
    <x v="687"/>
    <n v="288.1"/>
    <n v="5.9"/>
    <s v="A24"/>
    <n v="149.5"/>
    <n v="107.9"/>
  </r>
  <r>
    <n v="979"/>
    <x v="978"/>
    <x v="32"/>
    <x v="7"/>
    <x v="1"/>
    <x v="66"/>
    <x v="202"/>
    <n v="43.8"/>
    <n v="7.6"/>
    <s v="Yash Raj Films"/>
    <n v="16.8"/>
    <n v="62.2"/>
  </r>
  <r>
    <n v="980"/>
    <x v="979"/>
    <x v="12"/>
    <x v="7"/>
    <x v="2"/>
    <x v="55"/>
    <x v="688"/>
    <n v="422.8"/>
    <n v="5.9"/>
    <s v="Pixar"/>
    <n v="355.2"/>
    <n v="525.4"/>
  </r>
  <r>
    <n v="981"/>
    <x v="980"/>
    <x v="9"/>
    <x v="3"/>
    <x v="1"/>
    <x v="70"/>
    <x v="689"/>
    <n v="39.8"/>
    <n v="8.800000000000001"/>
    <s v="Hombale Films"/>
    <n v="-12.2"/>
    <n v="-23.5"/>
  </r>
  <r>
    <n v="982"/>
    <x v="981"/>
    <x v="31"/>
    <x v="0"/>
    <x v="7"/>
    <x v="4"/>
    <x v="690"/>
    <n v="620.5"/>
    <n v="5.3"/>
    <s v="Paramount"/>
    <n v="411"/>
    <n v="196.2"/>
  </r>
  <r>
    <n v="983"/>
    <x v="982"/>
    <x v="4"/>
    <x v="6"/>
    <x v="1"/>
    <x v="99"/>
    <x v="691"/>
    <n v="3.9"/>
    <n v="5.8"/>
    <s v="Mythri Movie Makers"/>
    <n v="0"/>
    <n v="0"/>
  </r>
  <r>
    <n v="984"/>
    <x v="983"/>
    <x v="6"/>
    <x v="8"/>
    <x v="2"/>
    <x v="110"/>
    <x v="81"/>
    <n v="16.3"/>
    <n v="5.9"/>
    <s v="Lionsgate"/>
    <n v="1"/>
    <n v="6.5"/>
  </r>
  <r>
    <n v="985"/>
    <x v="984"/>
    <x v="11"/>
    <x v="7"/>
    <x v="1"/>
    <x v="11"/>
    <x v="528"/>
    <n v="18.4"/>
    <n v="7.7"/>
    <s v="Aamir Khan Productions"/>
    <n v="12"/>
    <n v="187.5"/>
  </r>
  <r>
    <n v="986"/>
    <x v="985"/>
    <x v="34"/>
    <x v="5"/>
    <x v="3"/>
    <x v="15"/>
    <x v="433"/>
    <n v="13.2"/>
    <n v="6.8"/>
    <s v="A24"/>
    <n v="-10.7"/>
    <n v="-44.8"/>
  </r>
  <r>
    <n v="987"/>
    <x v="986"/>
    <x v="32"/>
    <x v="0"/>
    <x v="2"/>
    <x v="34"/>
    <x v="692"/>
    <n v="146.7"/>
    <n v="8"/>
    <s v="Warner Bros."/>
    <n v="79"/>
    <n v="116.7"/>
  </r>
  <r>
    <n v="988"/>
    <x v="987"/>
    <x v="30"/>
    <x v="7"/>
    <x v="1"/>
    <x v="115"/>
    <x v="561"/>
    <n v="42.8"/>
    <n v="8.6"/>
    <s v="Yash Raj Films"/>
    <n v="2.3"/>
    <n v="5.7"/>
  </r>
  <r>
    <n v="989"/>
    <x v="988"/>
    <x v="4"/>
    <x v="9"/>
    <x v="2"/>
    <x v="17"/>
    <x v="693"/>
    <n v="90.3"/>
    <n v="7.4"/>
    <s v="Universal"/>
    <n v="8.1"/>
    <n v="9.9"/>
  </r>
  <r>
    <n v="990"/>
    <x v="989"/>
    <x v="21"/>
    <x v="8"/>
    <x v="2"/>
    <x v="11"/>
    <x v="694"/>
    <n v="158.3"/>
    <n v="6.5"/>
    <s v="Marvel"/>
    <n v="108"/>
    <n v="214.7"/>
  </r>
  <r>
    <n v="991"/>
    <x v="990"/>
    <x v="10"/>
    <x v="7"/>
    <x v="6"/>
    <x v="47"/>
    <x v="695"/>
    <n v="243.9"/>
    <n v="7.5"/>
    <s v="Sony Pictures"/>
    <n v="194.2"/>
    <n v="390.7"/>
  </r>
  <r>
    <n v="992"/>
    <x v="991"/>
    <x v="16"/>
    <x v="6"/>
    <x v="3"/>
    <x v="62"/>
    <x v="659"/>
    <n v="311.6"/>
    <n v="7.2"/>
    <s v="Pixar"/>
    <n v="224.8"/>
    <n v="259"/>
  </r>
  <r>
    <n v="993"/>
    <x v="992"/>
    <x v="1"/>
    <x v="1"/>
    <x v="2"/>
    <x v="76"/>
    <x v="381"/>
    <n v="90.40000000000001"/>
    <n v="8.5"/>
    <s v="Sony Pictures"/>
    <n v="-16.7"/>
    <n v="-15.6"/>
  </r>
  <r>
    <n v="994"/>
    <x v="993"/>
    <x v="28"/>
    <x v="6"/>
    <x v="1"/>
    <x v="71"/>
    <x v="396"/>
    <n v="47.3"/>
    <n v="8.199999999999999"/>
    <s v="Panorama Studios"/>
    <n v="26.5"/>
    <n v="127.4"/>
  </r>
  <r>
    <n v="995"/>
    <x v="994"/>
    <x v="5"/>
    <x v="1"/>
    <x v="2"/>
    <x v="112"/>
    <x v="696"/>
    <n v="141.6"/>
    <n v="6.8"/>
    <s v="Disney"/>
    <n v="44.5"/>
    <n v="45.8"/>
  </r>
  <r>
    <n v="996"/>
    <x v="995"/>
    <x v="24"/>
    <x v="3"/>
    <x v="4"/>
    <x v="71"/>
    <x v="697"/>
    <n v="600.6"/>
    <n v="7.3"/>
    <s v="Universal"/>
    <n v="355.6"/>
    <n v="145.1"/>
  </r>
  <r>
    <n v="997"/>
    <x v="996"/>
    <x v="16"/>
    <x v="1"/>
    <x v="2"/>
    <x v="41"/>
    <x v="109"/>
    <n v="1327.5"/>
    <n v="6.3"/>
    <s v="Pixar"/>
    <n v="927.5"/>
    <n v="231.9"/>
  </r>
  <r>
    <n v="998"/>
    <x v="997"/>
    <x v="35"/>
    <x v="3"/>
    <x v="2"/>
    <x v="37"/>
    <x v="698"/>
    <n v="119.4"/>
    <n v="6.8"/>
    <s v="Sony Pictures"/>
    <n v="49.2"/>
    <n v="70.09999999999999"/>
  </r>
  <r>
    <n v="999"/>
    <x v="998"/>
    <x v="2"/>
    <x v="4"/>
    <x v="2"/>
    <x v="42"/>
    <x v="699"/>
    <n v="694.9"/>
    <n v="6.3"/>
    <s v="Lionsgate"/>
    <n v="548.3"/>
    <n v="374"/>
  </r>
  <r>
    <n v="1000"/>
    <x v="999"/>
    <x v="31"/>
    <x v="9"/>
    <x v="1"/>
    <x v="12"/>
    <x v="700"/>
    <n v="15.4"/>
    <n v="6.7"/>
    <s v="Hombale Films"/>
    <n v="3.2"/>
    <n v="26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70000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vies">
  <location ref="K4:L15" firstHeaderRow="1" firstDataRow="1" firstDataCol="1"/>
  <pivotFields count="12">
    <pivotField showAll="0"/>
    <pivotField axis="axisRow" showAll="0" measureFilter="1" sortType="descending">
      <items count="1001">
        <item x="5"/>
        <item x="35"/>
        <item x="65"/>
        <item x="95"/>
        <item x="125"/>
        <item x="155"/>
        <item x="185"/>
        <item x="215"/>
        <item x="245"/>
        <item x="275"/>
        <item x="305"/>
        <item x="335"/>
        <item x="365"/>
        <item x="395"/>
        <item x="425"/>
        <item x="455"/>
        <item x="485"/>
        <item x="515"/>
        <item x="545"/>
        <item x="575"/>
        <item x="605"/>
        <item x="635"/>
        <item x="665"/>
        <item x="695"/>
        <item x="725"/>
        <item x="755"/>
        <item x="785"/>
        <item x="815"/>
        <item x="845"/>
        <item x="875"/>
        <item x="905"/>
        <item x="935"/>
        <item x="965"/>
        <item x="995"/>
        <item x="18"/>
        <item x="48"/>
        <item x="78"/>
        <item x="108"/>
        <item x="138"/>
        <item x="168"/>
        <item x="198"/>
        <item x="228"/>
        <item x="258"/>
        <item x="288"/>
        <item x="318"/>
        <item x="348"/>
        <item x="378"/>
        <item x="408"/>
        <item x="438"/>
        <item x="468"/>
        <item x="498"/>
        <item x="528"/>
        <item x="558"/>
        <item x="588"/>
        <item x="618"/>
        <item x="648"/>
        <item x="678"/>
        <item x="708"/>
        <item x="738"/>
        <item x="768"/>
        <item x="798"/>
        <item x="828"/>
        <item x="858"/>
        <item x="888"/>
        <item x="918"/>
        <item x="948"/>
        <item x="978"/>
        <item x="22"/>
        <item x="52"/>
        <item x="82"/>
        <item x="112"/>
        <item x="142"/>
        <item x="172"/>
        <item x="202"/>
        <item x="232"/>
        <item x="262"/>
        <item x="292"/>
        <item x="322"/>
        <item x="352"/>
        <item x="382"/>
        <item x="412"/>
        <item x="442"/>
        <item x="472"/>
        <item x="502"/>
        <item x="532"/>
        <item x="562"/>
        <item x="592"/>
        <item x="622"/>
        <item x="652"/>
        <item x="682"/>
        <item x="712"/>
        <item x="742"/>
        <item x="772"/>
        <item x="802"/>
        <item x="832"/>
        <item x="862"/>
        <item x="892"/>
        <item x="922"/>
        <item x="952"/>
        <item x="982"/>
        <item x="10"/>
        <item x="40"/>
        <item x="70"/>
        <item x="100"/>
        <item x="130"/>
        <item x="160"/>
        <item x="190"/>
        <item x="220"/>
        <item x="250"/>
        <item x="280"/>
        <item x="310"/>
        <item x="340"/>
        <item x="370"/>
        <item x="400"/>
        <item x="430"/>
        <item x="460"/>
        <item x="490"/>
        <item x="520"/>
        <item x="550"/>
        <item x="580"/>
        <item x="610"/>
        <item x="640"/>
        <item x="670"/>
        <item x="700"/>
        <item x="730"/>
        <item x="760"/>
        <item x="790"/>
        <item x="820"/>
        <item x="850"/>
        <item x="880"/>
        <item x="910"/>
        <item x="940"/>
        <item x="970"/>
        <item x="3"/>
        <item x="33"/>
        <item x="63"/>
        <item x="93"/>
        <item x="123"/>
        <item x="153"/>
        <item x="183"/>
        <item x="213"/>
        <item x="243"/>
        <item x="273"/>
        <item x="303"/>
        <item x="333"/>
        <item x="363"/>
        <item x="393"/>
        <item x="423"/>
        <item x="453"/>
        <item x="483"/>
        <item x="513"/>
        <item x="543"/>
        <item x="573"/>
        <item x="603"/>
        <item x="633"/>
        <item x="663"/>
        <item x="693"/>
        <item x="723"/>
        <item x="753"/>
        <item x="783"/>
        <item x="813"/>
        <item x="843"/>
        <item x="873"/>
        <item x="903"/>
        <item x="933"/>
        <item x="963"/>
        <item x="993"/>
        <item x="26"/>
        <item x="56"/>
        <item x="86"/>
        <item x="116"/>
        <item x="146"/>
        <item x="176"/>
        <item x="206"/>
        <item x="236"/>
        <item x="266"/>
        <item x="296"/>
        <item x="326"/>
        <item x="356"/>
        <item x="386"/>
        <item x="416"/>
        <item x="446"/>
        <item x="476"/>
        <item x="506"/>
        <item x="536"/>
        <item x="566"/>
        <item x="596"/>
        <item x="626"/>
        <item x="656"/>
        <item x="686"/>
        <item x="716"/>
        <item x="746"/>
        <item x="776"/>
        <item x="806"/>
        <item x="836"/>
        <item x="866"/>
        <item x="896"/>
        <item x="926"/>
        <item x="956"/>
        <item x="986"/>
        <item x="15"/>
        <item x="45"/>
        <item x="75"/>
        <item x="105"/>
        <item x="135"/>
        <item x="165"/>
        <item x="195"/>
        <item x="225"/>
        <item x="255"/>
        <item x="285"/>
        <item x="315"/>
        <item x="345"/>
        <item x="375"/>
        <item x="405"/>
        <item x="435"/>
        <item x="465"/>
        <item x="495"/>
        <item x="525"/>
        <item x="555"/>
        <item x="585"/>
        <item x="615"/>
        <item x="645"/>
        <item x="675"/>
        <item x="705"/>
        <item x="735"/>
        <item x="765"/>
        <item x="795"/>
        <item x="825"/>
        <item x="855"/>
        <item x="885"/>
        <item x="915"/>
        <item x="945"/>
        <item x="975"/>
        <item x="13"/>
        <item x="43"/>
        <item x="73"/>
        <item x="103"/>
        <item x="133"/>
        <item x="163"/>
        <item x="193"/>
        <item x="223"/>
        <item x="253"/>
        <item x="283"/>
        <item x="313"/>
        <item x="343"/>
        <item x="373"/>
        <item x="403"/>
        <item x="433"/>
        <item x="463"/>
        <item x="493"/>
        <item x="523"/>
        <item x="553"/>
        <item x="583"/>
        <item x="613"/>
        <item x="643"/>
        <item x="673"/>
        <item x="703"/>
        <item x="733"/>
        <item x="763"/>
        <item x="793"/>
        <item x="823"/>
        <item x="853"/>
        <item x="883"/>
        <item x="913"/>
        <item x="943"/>
        <item x="973"/>
        <item x="6"/>
        <item x="36"/>
        <item x="66"/>
        <item x="96"/>
        <item x="126"/>
        <item x="156"/>
        <item x="186"/>
        <item x="216"/>
        <item x="246"/>
        <item x="276"/>
        <item x="306"/>
        <item x="336"/>
        <item x="366"/>
        <item x="396"/>
        <item x="426"/>
        <item x="456"/>
        <item x="486"/>
        <item x="516"/>
        <item x="546"/>
        <item x="576"/>
        <item x="606"/>
        <item x="636"/>
        <item x="666"/>
        <item x="696"/>
        <item x="726"/>
        <item x="756"/>
        <item x="786"/>
        <item x="816"/>
        <item x="846"/>
        <item x="876"/>
        <item x="906"/>
        <item x="936"/>
        <item x="966"/>
        <item x="996"/>
        <item x="21"/>
        <item x="51"/>
        <item x="81"/>
        <item x="111"/>
        <item x="141"/>
        <item x="171"/>
        <item x="201"/>
        <item x="231"/>
        <item x="261"/>
        <item x="291"/>
        <item x="321"/>
        <item x="351"/>
        <item x="381"/>
        <item x="411"/>
        <item x="441"/>
        <item x="471"/>
        <item x="501"/>
        <item x="531"/>
        <item x="561"/>
        <item x="591"/>
        <item x="621"/>
        <item x="651"/>
        <item x="681"/>
        <item x="711"/>
        <item x="741"/>
        <item x="771"/>
        <item x="801"/>
        <item x="831"/>
        <item x="861"/>
        <item x="891"/>
        <item x="921"/>
        <item x="951"/>
        <item x="981"/>
        <item x="27"/>
        <item x="57"/>
        <item x="87"/>
        <item x="117"/>
        <item x="147"/>
        <item x="177"/>
        <item x="207"/>
        <item x="237"/>
        <item x="267"/>
        <item x="297"/>
        <item x="327"/>
        <item x="357"/>
        <item x="387"/>
        <item x="417"/>
        <item x="447"/>
        <item x="477"/>
        <item x="507"/>
        <item x="537"/>
        <item x="567"/>
        <item x="597"/>
        <item x="627"/>
        <item x="657"/>
        <item x="687"/>
        <item x="717"/>
        <item x="747"/>
        <item x="777"/>
        <item x="807"/>
        <item x="837"/>
        <item x="867"/>
        <item x="897"/>
        <item x="927"/>
        <item x="957"/>
        <item x="987"/>
        <item x="24"/>
        <item x="54"/>
        <item x="84"/>
        <item x="114"/>
        <item x="144"/>
        <item x="174"/>
        <item x="204"/>
        <item x="234"/>
        <item x="264"/>
        <item x="294"/>
        <item x="324"/>
        <item x="354"/>
        <item x="384"/>
        <item x="414"/>
        <item x="444"/>
        <item x="474"/>
        <item x="504"/>
        <item x="534"/>
        <item x="564"/>
        <item x="594"/>
        <item x="624"/>
        <item x="654"/>
        <item x="684"/>
        <item x="714"/>
        <item x="744"/>
        <item x="774"/>
        <item x="804"/>
        <item x="834"/>
        <item x="864"/>
        <item x="894"/>
        <item x="924"/>
        <item x="954"/>
        <item x="984"/>
        <item x="14"/>
        <item x="44"/>
        <item x="74"/>
        <item x="104"/>
        <item x="134"/>
        <item x="164"/>
        <item x="194"/>
        <item x="224"/>
        <item x="254"/>
        <item x="284"/>
        <item x="314"/>
        <item x="344"/>
        <item x="374"/>
        <item x="404"/>
        <item x="434"/>
        <item x="464"/>
        <item x="494"/>
        <item x="524"/>
        <item x="554"/>
        <item x="584"/>
        <item x="614"/>
        <item x="644"/>
        <item x="674"/>
        <item x="704"/>
        <item x="734"/>
        <item x="764"/>
        <item x="794"/>
        <item x="824"/>
        <item x="854"/>
        <item x="884"/>
        <item x="914"/>
        <item x="944"/>
        <item x="974"/>
        <item x="17"/>
        <item x="47"/>
        <item x="77"/>
        <item x="107"/>
        <item x="137"/>
        <item x="167"/>
        <item x="197"/>
        <item x="227"/>
        <item x="257"/>
        <item x="287"/>
        <item x="317"/>
        <item x="347"/>
        <item x="377"/>
        <item x="407"/>
        <item x="437"/>
        <item x="467"/>
        <item x="497"/>
        <item x="527"/>
        <item x="557"/>
        <item x="587"/>
        <item x="617"/>
        <item x="647"/>
        <item x="677"/>
        <item x="707"/>
        <item x="737"/>
        <item x="767"/>
        <item x="797"/>
        <item x="827"/>
        <item x="857"/>
        <item x="887"/>
        <item x="917"/>
        <item x="947"/>
        <item x="977"/>
        <item x="0"/>
        <item x="30"/>
        <item x="60"/>
        <item x="90"/>
        <item x="120"/>
        <item x="150"/>
        <item x="180"/>
        <item x="210"/>
        <item x="240"/>
        <item x="270"/>
        <item x="300"/>
        <item x="330"/>
        <item x="360"/>
        <item x="390"/>
        <item x="420"/>
        <item x="450"/>
        <item x="480"/>
        <item x="510"/>
        <item x="540"/>
        <item x="570"/>
        <item x="600"/>
        <item x="630"/>
        <item x="660"/>
        <item x="690"/>
        <item x="720"/>
        <item x="750"/>
        <item x="780"/>
        <item x="810"/>
        <item x="840"/>
        <item x="870"/>
        <item x="900"/>
        <item x="930"/>
        <item x="960"/>
        <item x="990"/>
        <item x="28"/>
        <item x="58"/>
        <item x="88"/>
        <item x="118"/>
        <item x="148"/>
        <item x="178"/>
        <item x="208"/>
        <item x="238"/>
        <item x="268"/>
        <item x="298"/>
        <item x="328"/>
        <item x="358"/>
        <item x="388"/>
        <item x="418"/>
        <item x="448"/>
        <item x="478"/>
        <item x="508"/>
        <item x="538"/>
        <item x="568"/>
        <item x="598"/>
        <item x="628"/>
        <item x="658"/>
        <item x="688"/>
        <item x="718"/>
        <item x="748"/>
        <item x="778"/>
        <item x="808"/>
        <item x="838"/>
        <item x="868"/>
        <item x="898"/>
        <item x="928"/>
        <item x="958"/>
        <item x="988"/>
        <item x="2"/>
        <item x="32"/>
        <item x="62"/>
        <item x="92"/>
        <item x="122"/>
        <item x="152"/>
        <item x="182"/>
        <item x="212"/>
        <item x="242"/>
        <item x="272"/>
        <item x="302"/>
        <item x="332"/>
        <item x="362"/>
        <item x="392"/>
        <item x="422"/>
        <item x="452"/>
        <item x="482"/>
        <item x="512"/>
        <item x="542"/>
        <item x="572"/>
        <item x="602"/>
        <item x="632"/>
        <item x="662"/>
        <item x="692"/>
        <item x="722"/>
        <item x="752"/>
        <item x="782"/>
        <item x="812"/>
        <item x="842"/>
        <item x="872"/>
        <item x="902"/>
        <item x="932"/>
        <item x="962"/>
        <item x="992"/>
        <item x="8"/>
        <item x="38"/>
        <item x="68"/>
        <item x="98"/>
        <item x="128"/>
        <item x="158"/>
        <item x="188"/>
        <item x="218"/>
        <item x="248"/>
        <item x="278"/>
        <item x="308"/>
        <item x="338"/>
        <item x="368"/>
        <item x="398"/>
        <item x="428"/>
        <item x="458"/>
        <item x="488"/>
        <item x="518"/>
        <item x="548"/>
        <item x="578"/>
        <item x="608"/>
        <item x="638"/>
        <item x="668"/>
        <item x="698"/>
        <item x="728"/>
        <item x="758"/>
        <item x="788"/>
        <item x="818"/>
        <item x="848"/>
        <item x="878"/>
        <item x="908"/>
        <item x="938"/>
        <item x="968"/>
        <item x="998"/>
        <item x="23"/>
        <item x="53"/>
        <item x="83"/>
        <item x="113"/>
        <item x="143"/>
        <item x="173"/>
        <item x="203"/>
        <item x="233"/>
        <item x="263"/>
        <item x="293"/>
        <item x="323"/>
        <item x="353"/>
        <item x="383"/>
        <item x="413"/>
        <item x="443"/>
        <item x="473"/>
        <item x="503"/>
        <item x="533"/>
        <item x="563"/>
        <item x="593"/>
        <item x="623"/>
        <item x="653"/>
        <item x="683"/>
        <item x="713"/>
        <item x="743"/>
        <item x="773"/>
        <item x="803"/>
        <item x="833"/>
        <item x="863"/>
        <item x="893"/>
        <item x="923"/>
        <item x="953"/>
        <item x="983"/>
        <item x="16"/>
        <item x="46"/>
        <item x="76"/>
        <item x="106"/>
        <item x="136"/>
        <item x="166"/>
        <item x="196"/>
        <item x="226"/>
        <item x="256"/>
        <item x="286"/>
        <item x="316"/>
        <item x="346"/>
        <item x="376"/>
        <item x="406"/>
        <item x="436"/>
        <item x="466"/>
        <item x="496"/>
        <item x="526"/>
        <item x="556"/>
        <item x="586"/>
        <item x="616"/>
        <item x="646"/>
        <item x="676"/>
        <item x="706"/>
        <item x="736"/>
        <item x="766"/>
        <item x="796"/>
        <item x="826"/>
        <item x="856"/>
        <item x="886"/>
        <item x="916"/>
        <item x="946"/>
        <item x="976"/>
        <item x="25"/>
        <item x="55"/>
        <item x="85"/>
        <item x="115"/>
        <item x="145"/>
        <item x="175"/>
        <item x="205"/>
        <item x="235"/>
        <item x="265"/>
        <item x="295"/>
        <item x="325"/>
        <item x="355"/>
        <item x="385"/>
        <item x="415"/>
        <item x="445"/>
        <item x="475"/>
        <item x="505"/>
        <item x="535"/>
        <item x="565"/>
        <item x="595"/>
        <item x="625"/>
        <item x="655"/>
        <item x="685"/>
        <item x="715"/>
        <item x="745"/>
        <item x="775"/>
        <item x="805"/>
        <item x="835"/>
        <item x="865"/>
        <item x="895"/>
        <item x="925"/>
        <item x="955"/>
        <item x="985"/>
        <item x="4"/>
        <item x="34"/>
        <item x="64"/>
        <item x="94"/>
        <item x="124"/>
        <item x="154"/>
        <item x="184"/>
        <item x="214"/>
        <item x="244"/>
        <item x="274"/>
        <item x="304"/>
        <item x="334"/>
        <item x="364"/>
        <item x="394"/>
        <item x="424"/>
        <item x="454"/>
        <item x="484"/>
        <item x="514"/>
        <item x="544"/>
        <item x="574"/>
        <item x="604"/>
        <item x="634"/>
        <item x="664"/>
        <item x="694"/>
        <item x="724"/>
        <item x="754"/>
        <item x="784"/>
        <item x="814"/>
        <item x="844"/>
        <item x="874"/>
        <item x="904"/>
        <item x="934"/>
        <item x="964"/>
        <item x="994"/>
        <item x="29"/>
        <item x="59"/>
        <item x="89"/>
        <item x="119"/>
        <item x="149"/>
        <item x="179"/>
        <item x="209"/>
        <item x="239"/>
        <item x="269"/>
        <item x="299"/>
        <item x="329"/>
        <item x="359"/>
        <item x="389"/>
        <item x="419"/>
        <item x="449"/>
        <item x="479"/>
        <item x="509"/>
        <item x="539"/>
        <item x="569"/>
        <item x="599"/>
        <item x="629"/>
        <item x="659"/>
        <item x="689"/>
        <item x="719"/>
        <item x="749"/>
        <item x="779"/>
        <item x="809"/>
        <item x="839"/>
        <item x="869"/>
        <item x="899"/>
        <item x="929"/>
        <item x="959"/>
        <item x="989"/>
        <item x="7"/>
        <item x="37"/>
        <item x="67"/>
        <item x="97"/>
        <item x="127"/>
        <item x="157"/>
        <item x="187"/>
        <item x="217"/>
        <item x="247"/>
        <item x="277"/>
        <item x="307"/>
        <item x="337"/>
        <item x="367"/>
        <item x="397"/>
        <item x="427"/>
        <item x="457"/>
        <item x="487"/>
        <item x="517"/>
        <item x="547"/>
        <item x="577"/>
        <item x="607"/>
        <item x="637"/>
        <item x="667"/>
        <item x="697"/>
        <item x="727"/>
        <item x="757"/>
        <item x="787"/>
        <item x="817"/>
        <item x="847"/>
        <item x="877"/>
        <item x="907"/>
        <item x="937"/>
        <item x="967"/>
        <item x="997"/>
        <item x="1"/>
        <item x="31"/>
        <item x="61"/>
        <item x="91"/>
        <item x="121"/>
        <item x="151"/>
        <item x="181"/>
        <item x="211"/>
        <item x="241"/>
        <item x="271"/>
        <item x="301"/>
        <item x="331"/>
        <item x="361"/>
        <item x="391"/>
        <item x="421"/>
        <item x="451"/>
        <item x="481"/>
        <item x="511"/>
        <item x="541"/>
        <item x="571"/>
        <item x="601"/>
        <item x="631"/>
        <item x="661"/>
        <item x="691"/>
        <item x="721"/>
        <item x="751"/>
        <item x="781"/>
        <item x="811"/>
        <item x="841"/>
        <item x="871"/>
        <item x="901"/>
        <item x="931"/>
        <item n="where is value filters option" x="961"/>
        <item x="991"/>
        <item x="11"/>
        <item x="41"/>
        <item x="71"/>
        <item x="101"/>
        <item x="131"/>
        <item x="161"/>
        <item x="191"/>
        <item x="221"/>
        <item x="251"/>
        <item x="281"/>
        <item x="311"/>
        <item x="341"/>
        <item x="371"/>
        <item x="401"/>
        <item x="431"/>
        <item x="461"/>
        <item x="491"/>
        <item x="521"/>
        <item x="551"/>
        <item x="581"/>
        <item x="611"/>
        <item x="641"/>
        <item x="671"/>
        <item x="701"/>
        <item x="731"/>
        <item x="761"/>
        <item x="791"/>
        <item x="821"/>
        <item x="851"/>
        <item x="881"/>
        <item x="911"/>
        <item x="941"/>
        <item x="971"/>
        <item x="20"/>
        <item x="50"/>
        <item x="80"/>
        <item x="110"/>
        <item x="140"/>
        <item x="170"/>
        <item x="200"/>
        <item x="230"/>
        <item x="260"/>
        <item x="290"/>
        <item x="320"/>
        <item x="350"/>
        <item x="380"/>
        <item x="410"/>
        <item x="440"/>
        <item x="470"/>
        <item x="500"/>
        <item x="530"/>
        <item x="560"/>
        <item x="590"/>
        <item x="620"/>
        <item x="650"/>
        <item x="680"/>
        <item x="710"/>
        <item x="740"/>
        <item x="770"/>
        <item x="800"/>
        <item x="830"/>
        <item x="860"/>
        <item x="890"/>
        <item x="920"/>
        <item x="950"/>
        <item x="980"/>
        <item x="9"/>
        <item x="39"/>
        <item x="69"/>
        <item x="99"/>
        <item x="129"/>
        <item x="159"/>
        <item x="189"/>
        <item x="219"/>
        <item x="249"/>
        <item x="279"/>
        <item x="309"/>
        <item x="339"/>
        <item x="369"/>
        <item x="399"/>
        <item x="429"/>
        <item x="459"/>
        <item x="489"/>
        <item x="519"/>
        <item x="549"/>
        <item x="579"/>
        <item x="609"/>
        <item x="639"/>
        <item x="669"/>
        <item x="699"/>
        <item x="729"/>
        <item x="759"/>
        <item x="789"/>
        <item x="819"/>
        <item x="849"/>
        <item x="879"/>
        <item x="909"/>
        <item x="939"/>
        <item x="969"/>
        <item x="999"/>
        <item x="19"/>
        <item x="49"/>
        <item x="79"/>
        <item x="109"/>
        <item x="139"/>
        <item x="169"/>
        <item x="199"/>
        <item x="229"/>
        <item x="259"/>
        <item x="289"/>
        <item x="319"/>
        <item x="349"/>
        <item x="379"/>
        <item x="409"/>
        <item x="439"/>
        <item x="469"/>
        <item x="499"/>
        <item x="529"/>
        <item x="559"/>
        <item x="589"/>
        <item x="619"/>
        <item x="649"/>
        <item x="679"/>
        <item x="709"/>
        <item x="739"/>
        <item x="769"/>
        <item x="799"/>
        <item x="829"/>
        <item x="859"/>
        <item x="889"/>
        <item x="919"/>
        <item x="949"/>
        <item x="979"/>
        <item x="12"/>
        <item x="42"/>
        <item x="72"/>
        <item x="102"/>
        <item x="132"/>
        <item x="162"/>
        <item x="192"/>
        <item x="222"/>
        <item x="252"/>
        <item x="282"/>
        <item x="312"/>
        <item x="342"/>
        <item x="372"/>
        <item x="402"/>
        <item x="432"/>
        <item x="462"/>
        <item x="492"/>
        <item x="522"/>
        <item x="552"/>
        <item x="582"/>
        <item x="612"/>
        <item x="642"/>
        <item x="672"/>
        <item x="702"/>
        <item x="732"/>
        <item x="762"/>
        <item x="792"/>
        <item x="822"/>
        <item x="852"/>
        <item x="882"/>
        <item x="912"/>
        <item x="942"/>
        <item x="9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4" showAll="0"/>
    <pivotField dataField="1" numFmtId="164" showAll="0"/>
    <pivotField numFmtId="164" showAll="0"/>
    <pivotField showAll="0"/>
    <pivotField numFmtId="164" showAll="0"/>
    <pivotField numFmtId="165" showAll="0"/>
  </pivotFields>
  <rowFields count="1">
    <field x="1"/>
  </rowFields>
  <rowItems count="11">
    <i>
      <x v="832"/>
    </i>
    <i>
      <x v="299"/>
    </i>
    <i>
      <x v="593"/>
    </i>
    <i>
      <x v="578"/>
    </i>
    <i>
      <x v="100"/>
    </i>
    <i>
      <x v="440"/>
    </i>
    <i>
      <x v="509"/>
    </i>
    <i>
      <x v="41"/>
    </i>
    <i>
      <x v="29"/>
    </i>
    <i>
      <x v="64"/>
    </i>
    <i t="grand">
      <x/>
    </i>
  </rowItems>
  <colItems count="1">
    <i/>
  </colItems>
  <dataFields count="1">
    <dataField name="Sum of Revenue_Million_USD" fld="7" baseField="0" baseItem="0" numFmtId="164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6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Genre">
  <location ref="H19:I30" firstHeaderRow="1" firstDataRow="1" firstDataCol="1"/>
  <pivotFields count="12">
    <pivotField showAll="0"/>
    <pivotField showAll="0"/>
    <pivotField showAll="0"/>
    <pivotField axis="axisRow" showAll="0">
      <items count="11">
        <item x="3"/>
        <item x="2"/>
        <item x="7"/>
        <item x="0"/>
        <item x="8"/>
        <item x="9"/>
        <item x="4"/>
        <item x="5"/>
        <item x="1"/>
        <item x="6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4" showAll="0"/>
    <pivotField numFmtId="164" showAll="0"/>
    <pivotField dataField="1" numFmtId="164" showAll="0"/>
    <pivotField showAll="0"/>
    <pivotField numFmtId="164" showAll="0"/>
    <pivotField numFmtId="165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IMDb_Rating" fld="8" subtotal="average" baseField="3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38" firstHeaderRow="1" firstDataRow="1" firstDataCol="1"/>
  <pivotFields count="12">
    <pivotField dataField="1" showAll="0"/>
    <pivotField showAll="0"/>
    <pivotField axis="axisRow" showAll="0">
      <items count="37">
        <item x="26"/>
        <item x="19"/>
        <item x="17"/>
        <item x="34"/>
        <item x="25"/>
        <item x="32"/>
        <item x="31"/>
        <item x="21"/>
        <item x="3"/>
        <item x="27"/>
        <item x="5"/>
        <item x="33"/>
        <item x="12"/>
        <item x="29"/>
        <item x="8"/>
        <item x="24"/>
        <item x="14"/>
        <item x="18"/>
        <item x="35"/>
        <item x="20"/>
        <item x="1"/>
        <item x="10"/>
        <item x="4"/>
        <item x="13"/>
        <item x="22"/>
        <item x="15"/>
        <item x="23"/>
        <item x="2"/>
        <item x="0"/>
        <item x="11"/>
        <item x="30"/>
        <item x="9"/>
        <item x="6"/>
        <item x="16"/>
        <item x="7"/>
        <item x="28"/>
        <item t="default"/>
      </items>
    </pivotField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4" showAll="0"/>
    <pivotField numFmtId="164" showAll="0"/>
    <pivotField numFmtId="164" showAll="0"/>
    <pivotField showAll="0"/>
    <pivotField numFmtId="164" showAll="0"/>
    <pivotField numFmtId="165" showAll="0"/>
  </pivotFields>
  <rowFields count="1">
    <field x="2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Count of Movie_ID" fld="0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Genre">
  <location ref="D19:E30" firstHeaderRow="1" firstDataRow="1" firstDataCol="1"/>
  <pivotFields count="12">
    <pivotField dataField="1" showAll="0"/>
    <pivotField showAll="0"/>
    <pivotField showAll="0"/>
    <pivotField axis="axisRow" showAll="0">
      <items count="11">
        <item x="3"/>
        <item x="2"/>
        <item x="7"/>
        <item x="0"/>
        <item x="8"/>
        <item x="9"/>
        <item x="4"/>
        <item x="5"/>
        <item x="1"/>
        <item x="6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4" showAll="0"/>
    <pivotField numFmtId="164" showAll="0"/>
    <pivotField numFmtId="164" showAll="0"/>
    <pivotField showAll="0"/>
    <pivotField numFmtId="164" showAll="0"/>
    <pivotField numFmtId="165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Movie_ID" fld="0" subtotal="count" baseField="3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Genre">
  <location ref="D4:E15" firstHeaderRow="1" firstDataRow="1" firstDataCol="1"/>
  <pivotFields count="12">
    <pivotField showAll="0"/>
    <pivotField showAll="0"/>
    <pivotField showAll="0"/>
    <pivotField axis="axisRow" showAll="0">
      <items count="11">
        <item x="3"/>
        <item x="2"/>
        <item x="7"/>
        <item x="0"/>
        <item x="8"/>
        <item x="9"/>
        <item x="4"/>
        <item x="5"/>
        <item x="1"/>
        <item x="6"/>
        <item t="default"/>
      </items>
    </pivotField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4" showAll="0"/>
    <pivotField dataField="1" numFmtId="164" showAll="0"/>
    <pivotField numFmtId="164" showAll="0"/>
    <pivotField showAll="0"/>
    <pivotField numFmtId="164" showAll="0"/>
    <pivotField numFmtId="165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_Million_USD" fld="7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9:M36" firstHeaderRow="1" firstDataRow="1" firstDataCol="0"/>
  <pivotFields count="12">
    <pivotField showAll="0"/>
    <pivotField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Duration">
  <location ref="N4:P10" firstHeaderRow="0" firstDataRow="1" firstDataCol="1"/>
  <pivotFields count="12">
    <pivotField dataField="1"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4" showAll="0"/>
    <pivotField numFmtId="164" showAll="0"/>
    <pivotField dataField="1" numFmtId="164" showAll="0"/>
    <pivotField showAll="0"/>
    <pivotField numFmtId="164" showAll="0"/>
    <pivotField numFmtId="165" showAll="0"/>
  </pivotFields>
  <rowFields count="1">
    <field x="5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ovie_ID" fld="0" subtotal="count" baseField="5" baseItem="2"/>
    <dataField name="Average of IMDb_Rating" fld="8" subtotal="average" baseField="5" baseItem="2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ountry">
  <location ref="H4:I13" firstHeaderRow="1" firstDataRow="1" firstDataCol="1"/>
  <pivotFields count="12">
    <pivotField showAll="0"/>
    <pivotField showAll="0"/>
    <pivotField showAll="0"/>
    <pivotField showAll="0"/>
    <pivotField axis="axisRow" showAll="0" sortType="descending">
      <items count="9">
        <item x="7"/>
        <item x="5"/>
        <item x="4"/>
        <item x="1"/>
        <item x="3"/>
        <item x="0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4" showAll="0"/>
    <pivotField numFmtId="164" showAll="0"/>
    <pivotField numFmtId="164" showAll="0"/>
    <pivotField showAll="0"/>
    <pivotField dataField="1" numFmtId="164" showAll="0"/>
    <pivotField numFmtId="165" showAll="0"/>
  </pivotFields>
  <rowFields count="1">
    <field x="4"/>
  </rowFields>
  <rowItems count="9">
    <i>
      <x v="7"/>
    </i>
    <i>
      <x v="4"/>
    </i>
    <i>
      <x v="5"/>
    </i>
    <i>
      <x v="6"/>
    </i>
    <i>
      <x v="2"/>
    </i>
    <i>
      <x v="3"/>
    </i>
    <i>
      <x v="1"/>
    </i>
    <i>
      <x/>
    </i>
    <i t="grand">
      <x/>
    </i>
  </rowItems>
  <colItems count="1">
    <i/>
  </colItems>
  <dataFields count="1">
    <dataField name="Sum of Profit_Million_USD" fld="10" baseField="0" baseItem="0" numFmtId="164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001" totalsRowShown="0" headerRowDxfId="5">
  <autoFilter ref="A1:L1001" xr:uid="{00000000-0009-0000-0100-000001000000}"/>
  <tableColumns count="12">
    <tableColumn id="1" xr3:uid="{00000000-0010-0000-0000-000001000000}" name="Movie_ID"/>
    <tableColumn id="2" xr3:uid="{00000000-0010-0000-0000-000002000000}" name="Movie_Name"/>
    <tableColumn id="3" xr3:uid="{00000000-0010-0000-0000-000003000000}" name="Release_Year"/>
    <tableColumn id="4" xr3:uid="{00000000-0010-0000-0000-000004000000}" name="Genre"/>
    <tableColumn id="5" xr3:uid="{00000000-0010-0000-0000-000005000000}" name="Country"/>
    <tableColumn id="6" xr3:uid="{00000000-0010-0000-0000-000006000000}" name="Runtime_Min"/>
    <tableColumn id="7" xr3:uid="{00000000-0010-0000-0000-000007000000}" name="Budget_Million_USD" dataDxfId="4"/>
    <tableColumn id="8" xr3:uid="{00000000-0010-0000-0000-000008000000}" name="Revenue_Million_USD" dataDxfId="3"/>
    <tableColumn id="9" xr3:uid="{00000000-0010-0000-0000-000009000000}" name="IMDb_Rating" dataDxfId="2"/>
    <tableColumn id="10" xr3:uid="{00000000-0010-0000-0000-00000A000000}" name="Studio"/>
    <tableColumn id="11" xr3:uid="{00000000-0010-0000-0000-00000B000000}" name="Profit_Million_USD" dataDxfId="1"/>
    <tableColumn id="12" xr3:uid="{00000000-0010-0000-0000-00000C000000}" name="ROI_%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69"/>
  <sheetViews>
    <sheetView showGridLines="0" tabSelected="1" workbookViewId="0">
      <pane ySplit="4" topLeftCell="A5" activePane="bottomLeft" state="frozen"/>
      <selection pane="bottomLeft" activeCell="P45" sqref="P45"/>
    </sheetView>
  </sheetViews>
  <sheetFormatPr defaultRowHeight="14.4" x14ac:dyDescent="0.3"/>
  <cols>
    <col min="1" max="1" width="3" customWidth="1"/>
    <col min="2" max="4" width="15" customWidth="1"/>
    <col min="5" max="5" width="3" customWidth="1"/>
    <col min="6" max="8" width="15" customWidth="1"/>
    <col min="9" max="9" width="3" customWidth="1"/>
    <col min="10" max="12" width="15" customWidth="1"/>
    <col min="13" max="13" width="3" customWidth="1"/>
    <col min="14" max="16" width="15" customWidth="1"/>
  </cols>
  <sheetData>
    <row r="1" spans="2:16" ht="28.05" customHeight="1" x14ac:dyDescent="0.3">
      <c r="B1" s="19" t="s">
        <v>1046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2:16" ht="28.05" customHeight="1" x14ac:dyDescent="0.3"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2:16" ht="19.95" customHeight="1" x14ac:dyDescent="0.3">
      <c r="B3" s="22" t="s">
        <v>1047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2:16" ht="19.95" customHeight="1" x14ac:dyDescent="0.3">
      <c r="B4" s="17" t="s">
        <v>1048</v>
      </c>
      <c r="C4" s="18"/>
      <c r="D4" s="18"/>
      <c r="F4" s="17" t="s">
        <v>1049</v>
      </c>
      <c r="G4" s="18"/>
      <c r="H4" s="18"/>
      <c r="J4" s="17" t="s">
        <v>1050</v>
      </c>
      <c r="K4" s="18"/>
      <c r="L4" s="18"/>
      <c r="N4" s="17" t="s">
        <v>1051</v>
      </c>
      <c r="O4" s="18"/>
      <c r="P4" s="18"/>
    </row>
    <row r="5" spans="2:16" ht="24" customHeight="1" x14ac:dyDescent="0.3">
      <c r="B5" s="21">
        <f>COUNTA(Movie_Data!A2:A1001)</f>
        <v>1000</v>
      </c>
      <c r="C5" s="16"/>
      <c r="D5" s="16"/>
      <c r="F5" s="15">
        <f>SUM(Movie_Data!H2:H1001)</f>
        <v>159479.90000000002</v>
      </c>
      <c r="G5" s="16"/>
      <c r="H5" s="16"/>
      <c r="J5" s="15">
        <f>SUM(Movie_Data!K2:K1001)</f>
        <v>95138.799999999945</v>
      </c>
      <c r="K5" s="16"/>
      <c r="L5" s="16"/>
      <c r="N5" s="25">
        <f>AVERAGE(Movie_Data!I2:I1001)</f>
        <v>7.1025999999999945</v>
      </c>
      <c r="O5" s="16"/>
      <c r="P5" s="16"/>
    </row>
    <row r="6" spans="2:16" ht="24" customHeight="1" x14ac:dyDescent="0.3">
      <c r="B6" s="16"/>
      <c r="C6" s="16"/>
      <c r="D6" s="16"/>
      <c r="F6" s="16"/>
      <c r="G6" s="16"/>
      <c r="H6" s="16"/>
      <c r="J6" s="16"/>
      <c r="K6" s="16"/>
      <c r="L6" s="16"/>
      <c r="N6" s="16"/>
      <c r="O6" s="16"/>
      <c r="P6" s="16"/>
    </row>
    <row r="7" spans="2:16" ht="24" customHeight="1" x14ac:dyDescent="0.3">
      <c r="B7" s="16"/>
      <c r="C7" s="16"/>
      <c r="D7" s="16"/>
      <c r="F7" s="16"/>
      <c r="G7" s="16"/>
      <c r="H7" s="16"/>
      <c r="J7" s="16"/>
      <c r="K7" s="16"/>
      <c r="L7" s="16"/>
      <c r="N7" s="16"/>
      <c r="O7" s="16"/>
      <c r="P7" s="16"/>
    </row>
    <row r="8" spans="2:16" ht="19.95" customHeight="1" x14ac:dyDescent="0.3">
      <c r="B8" s="24" t="s">
        <v>1052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2:16" ht="19.95" customHeight="1" x14ac:dyDescent="0.3"/>
    <row r="10" spans="2:16" ht="19.95" customHeight="1" x14ac:dyDescent="0.3"/>
    <row r="11" spans="2:16" ht="19.95" customHeight="1" x14ac:dyDescent="0.3"/>
    <row r="12" spans="2:16" ht="19.95" customHeight="1" x14ac:dyDescent="0.3"/>
    <row r="13" spans="2:16" ht="19.95" customHeight="1" x14ac:dyDescent="0.3"/>
    <row r="14" spans="2:16" ht="19.95" customHeight="1" x14ac:dyDescent="0.3"/>
    <row r="15" spans="2:16" ht="19.95" customHeight="1" x14ac:dyDescent="0.3"/>
    <row r="16" spans="2:16" ht="19.95" customHeight="1" x14ac:dyDescent="0.3"/>
    <row r="17" ht="19.95" customHeight="1" x14ac:dyDescent="0.3"/>
    <row r="18" ht="19.95" customHeight="1" x14ac:dyDescent="0.3"/>
    <row r="19" ht="19.95" customHeight="1" x14ac:dyDescent="0.3"/>
    <row r="20" ht="19.95" customHeight="1" x14ac:dyDescent="0.3"/>
    <row r="21" ht="19.95" customHeight="1" x14ac:dyDescent="0.3"/>
    <row r="22" ht="19.95" customHeight="1" x14ac:dyDescent="0.3"/>
    <row r="23" ht="19.95" customHeight="1" x14ac:dyDescent="0.3"/>
    <row r="24" ht="19.95" customHeight="1" x14ac:dyDescent="0.3"/>
    <row r="25" ht="19.95" customHeight="1" x14ac:dyDescent="0.3"/>
    <row r="26" ht="19.95" customHeight="1" x14ac:dyDescent="0.3"/>
    <row r="27" ht="19.95" customHeight="1" x14ac:dyDescent="0.3"/>
    <row r="28" ht="19.95" customHeight="1" x14ac:dyDescent="0.3"/>
    <row r="29" ht="19.95" customHeight="1" x14ac:dyDescent="0.3"/>
    <row r="30" ht="19.95" customHeight="1" x14ac:dyDescent="0.3"/>
    <row r="31" ht="19.95" customHeight="1" x14ac:dyDescent="0.3"/>
    <row r="32" ht="19.95" customHeight="1" x14ac:dyDescent="0.3"/>
    <row r="33" ht="19.95" customHeight="1" x14ac:dyDescent="0.3"/>
    <row r="34" ht="19.95" customHeight="1" x14ac:dyDescent="0.3"/>
    <row r="35" ht="19.95" customHeight="1" x14ac:dyDescent="0.3"/>
    <row r="36" ht="19.95" customHeight="1" x14ac:dyDescent="0.3"/>
    <row r="37" ht="19.95" customHeight="1" x14ac:dyDescent="0.3"/>
    <row r="38" ht="19.95" customHeight="1" x14ac:dyDescent="0.3"/>
    <row r="39" ht="19.95" customHeight="1" x14ac:dyDescent="0.3"/>
    <row r="40" ht="19.95" customHeight="1" x14ac:dyDescent="0.3"/>
    <row r="41" ht="19.95" customHeight="1" x14ac:dyDescent="0.3"/>
    <row r="42" ht="19.95" customHeight="1" x14ac:dyDescent="0.3"/>
    <row r="43" ht="19.95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spans="10:16" ht="19.95" customHeight="1" x14ac:dyDescent="0.3"/>
    <row r="50" spans="10:16" ht="19.95" customHeight="1" x14ac:dyDescent="0.3"/>
    <row r="51" spans="10:16" ht="19.95" customHeight="1" x14ac:dyDescent="0.3"/>
    <row r="52" spans="10:16" ht="19.95" customHeight="1" x14ac:dyDescent="0.3"/>
    <row r="53" spans="10:16" ht="19.95" customHeight="1" x14ac:dyDescent="0.3"/>
    <row r="54" spans="10:16" ht="19.95" customHeight="1" x14ac:dyDescent="0.3"/>
    <row r="55" spans="10:16" ht="19.95" customHeight="1" x14ac:dyDescent="0.3"/>
    <row r="56" spans="10:16" ht="19.95" customHeight="1" x14ac:dyDescent="0.3"/>
    <row r="57" spans="10:16" ht="19.95" customHeight="1" x14ac:dyDescent="0.3"/>
    <row r="58" spans="10:16" ht="19.95" customHeight="1" x14ac:dyDescent="0.3"/>
    <row r="59" spans="10:16" ht="19.95" customHeight="1" x14ac:dyDescent="0.3"/>
    <row r="60" spans="10:16" ht="19.95" customHeight="1" x14ac:dyDescent="0.3">
      <c r="J60" s="23" t="s">
        <v>1053</v>
      </c>
      <c r="K60" s="18"/>
      <c r="L60" s="18"/>
      <c r="M60" s="18"/>
      <c r="N60" s="18"/>
      <c r="O60" s="18"/>
      <c r="P60" s="18"/>
    </row>
    <row r="61" spans="10:16" ht="19.95" customHeight="1" x14ac:dyDescent="0.3">
      <c r="J61" s="18"/>
      <c r="K61" s="18"/>
      <c r="L61" s="18"/>
      <c r="M61" s="18"/>
      <c r="N61" s="18"/>
      <c r="O61" s="18"/>
      <c r="P61" s="18"/>
    </row>
    <row r="62" spans="10:16" ht="19.95" customHeight="1" x14ac:dyDescent="0.3"/>
    <row r="63" spans="10:16" ht="19.95" customHeight="1" x14ac:dyDescent="0.3"/>
    <row r="64" spans="10:16" ht="19.95" customHeight="1" x14ac:dyDescent="0.3"/>
    <row r="65" ht="19.95" customHeight="1" x14ac:dyDescent="0.3"/>
    <row r="66" ht="19.95" customHeight="1" x14ac:dyDescent="0.3"/>
    <row r="67" ht="19.95" customHeight="1" x14ac:dyDescent="0.3"/>
    <row r="68" ht="19.95" customHeight="1" x14ac:dyDescent="0.3"/>
    <row r="69" ht="19.95" customHeight="1" x14ac:dyDescent="0.3"/>
  </sheetData>
  <mergeCells count="12">
    <mergeCell ref="J60:P61"/>
    <mergeCell ref="F4:H4"/>
    <mergeCell ref="J4:L4"/>
    <mergeCell ref="B8:P8"/>
    <mergeCell ref="N5:P7"/>
    <mergeCell ref="J5:L7"/>
    <mergeCell ref="N4:P4"/>
    <mergeCell ref="B1:P2"/>
    <mergeCell ref="B5:D7"/>
    <mergeCell ref="F5:H7"/>
    <mergeCell ref="B3:P3"/>
    <mergeCell ref="B4:D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1"/>
  <sheetViews>
    <sheetView workbookViewId="0">
      <pane ySplit="1" topLeftCell="A2" activePane="bottomLeft" state="frozen"/>
      <selection pane="bottomLeft" activeCell="D10" sqref="D10"/>
    </sheetView>
  </sheetViews>
  <sheetFormatPr defaultRowHeight="14.4" x14ac:dyDescent="0.3"/>
  <cols>
    <col min="1" max="1" width="14" customWidth="1"/>
    <col min="2" max="2" width="14.21875" customWidth="1"/>
    <col min="3" max="3" width="15" customWidth="1"/>
    <col min="4" max="5" width="14" customWidth="1"/>
    <col min="6" max="6" width="14.33203125" customWidth="1"/>
    <col min="7" max="7" width="21" customWidth="1"/>
    <col min="8" max="8" width="22" customWidth="1"/>
    <col min="9" max="10" width="14" customWidth="1"/>
    <col min="11" max="11" width="21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>
        <v>2018</v>
      </c>
      <c r="D2" t="s">
        <v>13</v>
      </c>
      <c r="E2" t="s">
        <v>14</v>
      </c>
      <c r="F2">
        <v>131</v>
      </c>
      <c r="G2" s="2">
        <v>138.69999999999999</v>
      </c>
      <c r="H2" s="2">
        <v>442.5</v>
      </c>
      <c r="I2" s="2">
        <v>6.7</v>
      </c>
      <c r="J2" t="s">
        <v>15</v>
      </c>
      <c r="K2" s="2">
        <v>303.8</v>
      </c>
      <c r="L2" s="3">
        <v>219</v>
      </c>
    </row>
    <row r="3" spans="1:12" x14ac:dyDescent="0.3">
      <c r="A3">
        <v>2</v>
      </c>
      <c r="B3" t="s">
        <v>16</v>
      </c>
      <c r="C3">
        <v>2010</v>
      </c>
      <c r="D3" t="s">
        <v>17</v>
      </c>
      <c r="E3" t="s">
        <v>18</v>
      </c>
      <c r="F3">
        <v>138</v>
      </c>
      <c r="G3" s="2">
        <v>22.1</v>
      </c>
      <c r="H3" s="2">
        <v>18.899999999999999</v>
      </c>
      <c r="I3" s="2">
        <v>5.7</v>
      </c>
      <c r="J3" t="s">
        <v>19</v>
      </c>
      <c r="K3" s="2">
        <v>-3.2</v>
      </c>
      <c r="L3" s="3">
        <v>-14.5</v>
      </c>
    </row>
    <row r="4" spans="1:12" x14ac:dyDescent="0.3">
      <c r="A4">
        <v>3</v>
      </c>
      <c r="B4" t="s">
        <v>20</v>
      </c>
      <c r="C4">
        <v>2017</v>
      </c>
      <c r="D4" t="s">
        <v>21</v>
      </c>
      <c r="E4" t="s">
        <v>22</v>
      </c>
      <c r="F4">
        <v>128</v>
      </c>
      <c r="G4" s="2">
        <v>63.3</v>
      </c>
      <c r="H4" s="2">
        <v>174.7</v>
      </c>
      <c r="I4" s="2">
        <v>7.5</v>
      </c>
      <c r="J4" t="s">
        <v>23</v>
      </c>
      <c r="K4" s="2">
        <v>111.4</v>
      </c>
      <c r="L4" s="3">
        <v>176</v>
      </c>
    </row>
    <row r="5" spans="1:12" x14ac:dyDescent="0.3">
      <c r="A5">
        <v>4</v>
      </c>
      <c r="B5" t="s">
        <v>24</v>
      </c>
      <c r="C5">
        <v>1998</v>
      </c>
      <c r="D5" t="s">
        <v>25</v>
      </c>
      <c r="E5" t="s">
        <v>14</v>
      </c>
      <c r="F5">
        <v>145</v>
      </c>
      <c r="G5" s="2">
        <v>58.5</v>
      </c>
      <c r="H5" s="2">
        <v>88.3</v>
      </c>
      <c r="I5" s="2">
        <v>7.1</v>
      </c>
      <c r="J5" t="s">
        <v>15</v>
      </c>
      <c r="K5" s="2">
        <v>29.8</v>
      </c>
      <c r="L5" s="3">
        <v>50.9</v>
      </c>
    </row>
    <row r="6" spans="1:12" x14ac:dyDescent="0.3">
      <c r="A6">
        <v>5</v>
      </c>
      <c r="B6" t="s">
        <v>26</v>
      </c>
      <c r="C6">
        <v>2017</v>
      </c>
      <c r="D6" t="s">
        <v>27</v>
      </c>
      <c r="E6" t="s">
        <v>22</v>
      </c>
      <c r="F6">
        <v>145</v>
      </c>
      <c r="G6" s="2">
        <v>26</v>
      </c>
      <c r="H6" s="2">
        <v>54.7</v>
      </c>
      <c r="I6" s="2">
        <v>9.5</v>
      </c>
      <c r="J6" t="s">
        <v>28</v>
      </c>
      <c r="K6" s="2">
        <v>28.7</v>
      </c>
      <c r="L6" s="3">
        <v>110.4</v>
      </c>
    </row>
    <row r="7" spans="1:12" x14ac:dyDescent="0.3">
      <c r="A7">
        <v>6</v>
      </c>
      <c r="B7" t="s">
        <v>29</v>
      </c>
      <c r="C7">
        <v>2018</v>
      </c>
      <c r="D7" t="s">
        <v>21</v>
      </c>
      <c r="E7" t="s">
        <v>30</v>
      </c>
      <c r="F7">
        <v>154</v>
      </c>
      <c r="G7" s="2">
        <v>113.1</v>
      </c>
      <c r="H7" s="2">
        <v>100.4</v>
      </c>
      <c r="I7" s="2">
        <v>7.3</v>
      </c>
      <c r="J7" t="s">
        <v>31</v>
      </c>
      <c r="K7" s="2">
        <v>-12.7</v>
      </c>
      <c r="L7" s="3">
        <v>-11.2</v>
      </c>
    </row>
    <row r="8" spans="1:12" x14ac:dyDescent="0.3">
      <c r="A8">
        <v>7</v>
      </c>
      <c r="B8" t="s">
        <v>32</v>
      </c>
      <c r="C8">
        <v>2012</v>
      </c>
      <c r="D8" t="s">
        <v>17</v>
      </c>
      <c r="E8" t="s">
        <v>33</v>
      </c>
      <c r="F8">
        <v>183</v>
      </c>
      <c r="G8" s="2">
        <v>145.1</v>
      </c>
      <c r="H8" s="2">
        <v>758.6</v>
      </c>
      <c r="I8" s="2">
        <v>5.7</v>
      </c>
      <c r="J8" t="s">
        <v>34</v>
      </c>
      <c r="K8" s="2">
        <v>613.5</v>
      </c>
      <c r="L8" s="3">
        <v>422.8</v>
      </c>
    </row>
    <row r="9" spans="1:12" x14ac:dyDescent="0.3">
      <c r="A9">
        <v>8</v>
      </c>
      <c r="B9" t="s">
        <v>35</v>
      </c>
      <c r="C9">
        <v>2018</v>
      </c>
      <c r="D9" t="s">
        <v>36</v>
      </c>
      <c r="E9" t="s">
        <v>22</v>
      </c>
      <c r="F9">
        <v>143</v>
      </c>
      <c r="G9" s="2">
        <v>15.9</v>
      </c>
      <c r="H9" s="2">
        <v>24.4</v>
      </c>
      <c r="I9" s="2">
        <v>5.9</v>
      </c>
      <c r="J9" t="s">
        <v>37</v>
      </c>
      <c r="K9" s="2">
        <v>8.5</v>
      </c>
      <c r="L9" s="3">
        <v>53.5</v>
      </c>
    </row>
    <row r="10" spans="1:12" x14ac:dyDescent="0.3">
      <c r="A10">
        <v>9</v>
      </c>
      <c r="B10" t="s">
        <v>38</v>
      </c>
      <c r="C10">
        <v>2000</v>
      </c>
      <c r="D10" t="s">
        <v>13</v>
      </c>
      <c r="E10" t="s">
        <v>39</v>
      </c>
      <c r="F10">
        <v>130</v>
      </c>
      <c r="G10" s="2">
        <v>101.7</v>
      </c>
      <c r="H10" s="2">
        <v>405.9</v>
      </c>
      <c r="I10" s="2">
        <v>6.9</v>
      </c>
      <c r="J10" t="s">
        <v>40</v>
      </c>
      <c r="K10" s="2">
        <v>304.2</v>
      </c>
      <c r="L10" s="3">
        <v>299.10000000000002</v>
      </c>
    </row>
    <row r="11" spans="1:12" x14ac:dyDescent="0.3">
      <c r="A11">
        <v>10</v>
      </c>
      <c r="B11" t="s">
        <v>41</v>
      </c>
      <c r="C11">
        <v>2022</v>
      </c>
      <c r="D11" t="s">
        <v>25</v>
      </c>
      <c r="E11" t="s">
        <v>22</v>
      </c>
      <c r="F11">
        <v>154</v>
      </c>
      <c r="G11" s="2">
        <v>132.5</v>
      </c>
      <c r="H11" s="2">
        <v>226.7</v>
      </c>
      <c r="I11" s="2">
        <v>8.6999999999999993</v>
      </c>
      <c r="J11" t="s">
        <v>28</v>
      </c>
      <c r="K11" s="2">
        <v>94.2</v>
      </c>
      <c r="L11" s="3">
        <v>71.099999999999994</v>
      </c>
    </row>
    <row r="12" spans="1:12" x14ac:dyDescent="0.3">
      <c r="A12">
        <v>11</v>
      </c>
      <c r="B12" t="s">
        <v>42</v>
      </c>
      <c r="C12">
        <v>2024</v>
      </c>
      <c r="D12" t="s">
        <v>27</v>
      </c>
      <c r="E12" t="s">
        <v>22</v>
      </c>
      <c r="F12">
        <v>134</v>
      </c>
      <c r="G12" s="2">
        <v>206</v>
      </c>
      <c r="H12" s="2">
        <v>936</v>
      </c>
      <c r="I12" s="2">
        <v>9.5</v>
      </c>
      <c r="J12" t="s">
        <v>23</v>
      </c>
      <c r="K12" s="2">
        <v>730</v>
      </c>
      <c r="L12" s="3">
        <v>354.4</v>
      </c>
    </row>
    <row r="13" spans="1:12" x14ac:dyDescent="0.3">
      <c r="A13">
        <v>12</v>
      </c>
      <c r="B13" t="s">
        <v>43</v>
      </c>
      <c r="C13">
        <v>2004</v>
      </c>
      <c r="D13" t="s">
        <v>25</v>
      </c>
      <c r="E13" t="s">
        <v>22</v>
      </c>
      <c r="F13">
        <v>101</v>
      </c>
      <c r="G13" s="2">
        <v>69.400000000000006</v>
      </c>
      <c r="H13" s="2">
        <v>131.4</v>
      </c>
      <c r="I13" s="2">
        <v>6.8</v>
      </c>
      <c r="J13" t="s">
        <v>23</v>
      </c>
      <c r="K13" s="2">
        <v>62</v>
      </c>
      <c r="L13" s="3">
        <v>89.3</v>
      </c>
    </row>
    <row r="14" spans="1:12" x14ac:dyDescent="0.3">
      <c r="A14">
        <v>13</v>
      </c>
      <c r="B14" t="s">
        <v>44</v>
      </c>
      <c r="C14">
        <v>2021</v>
      </c>
      <c r="D14" t="s">
        <v>45</v>
      </c>
      <c r="E14" t="s">
        <v>22</v>
      </c>
      <c r="F14">
        <v>161</v>
      </c>
      <c r="G14" s="2">
        <v>44.1</v>
      </c>
      <c r="H14" s="2">
        <v>60.7</v>
      </c>
      <c r="I14" s="2">
        <v>6.9</v>
      </c>
      <c r="J14" t="s">
        <v>37</v>
      </c>
      <c r="K14" s="2">
        <v>16.600000000000001</v>
      </c>
      <c r="L14" s="3">
        <v>37.6</v>
      </c>
    </row>
    <row r="15" spans="1:12" x14ac:dyDescent="0.3">
      <c r="A15">
        <v>14</v>
      </c>
      <c r="B15" t="s">
        <v>46</v>
      </c>
      <c r="C15">
        <v>2011</v>
      </c>
      <c r="D15" t="s">
        <v>47</v>
      </c>
      <c r="E15" t="s">
        <v>18</v>
      </c>
      <c r="F15">
        <v>114</v>
      </c>
      <c r="G15" s="2">
        <v>14.6</v>
      </c>
      <c r="H15" s="2">
        <v>16.899999999999999</v>
      </c>
      <c r="I15" s="2">
        <v>7.4</v>
      </c>
      <c r="J15" t="s">
        <v>48</v>
      </c>
      <c r="K15" s="2">
        <v>2.2999999999999998</v>
      </c>
      <c r="L15" s="3">
        <v>15.8</v>
      </c>
    </row>
    <row r="16" spans="1:12" x14ac:dyDescent="0.3">
      <c r="A16">
        <v>15</v>
      </c>
      <c r="B16" t="s">
        <v>49</v>
      </c>
      <c r="C16">
        <v>2019</v>
      </c>
      <c r="D16" t="s">
        <v>47</v>
      </c>
      <c r="E16" t="s">
        <v>22</v>
      </c>
      <c r="F16">
        <v>117</v>
      </c>
      <c r="G16" s="2">
        <v>107.7</v>
      </c>
      <c r="H16" s="2">
        <v>117.8</v>
      </c>
      <c r="I16" s="2">
        <v>6.7</v>
      </c>
      <c r="J16" t="s">
        <v>31</v>
      </c>
      <c r="K16" s="2">
        <v>10.1</v>
      </c>
      <c r="L16" s="3">
        <v>9.4</v>
      </c>
    </row>
    <row r="17" spans="1:12" x14ac:dyDescent="0.3">
      <c r="A17">
        <v>16</v>
      </c>
      <c r="B17" t="s">
        <v>50</v>
      </c>
      <c r="C17">
        <v>2002</v>
      </c>
      <c r="D17" t="s">
        <v>47</v>
      </c>
      <c r="E17" t="s">
        <v>22</v>
      </c>
      <c r="F17">
        <v>88</v>
      </c>
      <c r="G17" s="2">
        <v>24.3</v>
      </c>
      <c r="H17" s="2">
        <v>109.4</v>
      </c>
      <c r="I17" s="2">
        <v>9.5</v>
      </c>
      <c r="J17" t="s">
        <v>51</v>
      </c>
      <c r="K17" s="2">
        <v>85.1</v>
      </c>
      <c r="L17" s="3">
        <v>350.2</v>
      </c>
    </row>
    <row r="18" spans="1:12" x14ac:dyDescent="0.3">
      <c r="A18">
        <v>17</v>
      </c>
      <c r="B18" t="s">
        <v>52</v>
      </c>
      <c r="C18">
        <v>2013</v>
      </c>
      <c r="D18" t="s">
        <v>53</v>
      </c>
      <c r="E18" t="s">
        <v>22</v>
      </c>
      <c r="F18">
        <v>101</v>
      </c>
      <c r="G18" s="2">
        <v>186.3</v>
      </c>
      <c r="H18" s="2">
        <v>686.7</v>
      </c>
      <c r="I18" s="2">
        <v>5.4</v>
      </c>
      <c r="J18" t="s">
        <v>28</v>
      </c>
      <c r="K18" s="2">
        <v>500.4</v>
      </c>
      <c r="L18" s="3">
        <v>268.60000000000002</v>
      </c>
    </row>
    <row r="19" spans="1:12" x14ac:dyDescent="0.3">
      <c r="A19">
        <v>18</v>
      </c>
      <c r="B19" t="s">
        <v>54</v>
      </c>
      <c r="C19">
        <v>2006</v>
      </c>
      <c r="D19" t="s">
        <v>13</v>
      </c>
      <c r="E19" t="s">
        <v>18</v>
      </c>
      <c r="F19">
        <v>124</v>
      </c>
      <c r="G19" s="2">
        <v>30.3</v>
      </c>
      <c r="H19" s="2">
        <v>70.099999999999994</v>
      </c>
      <c r="I19" s="2">
        <v>5.8</v>
      </c>
      <c r="J19" t="s">
        <v>48</v>
      </c>
      <c r="K19" s="2">
        <v>39.799999999999997</v>
      </c>
      <c r="L19" s="3">
        <v>131.4</v>
      </c>
    </row>
    <row r="20" spans="1:12" x14ac:dyDescent="0.3">
      <c r="A20">
        <v>19</v>
      </c>
      <c r="B20" t="s">
        <v>55</v>
      </c>
      <c r="C20">
        <v>2015</v>
      </c>
      <c r="D20" t="s">
        <v>21</v>
      </c>
      <c r="E20" t="s">
        <v>22</v>
      </c>
      <c r="F20">
        <v>119</v>
      </c>
      <c r="G20" s="2">
        <v>38.799999999999997</v>
      </c>
      <c r="H20" s="2">
        <v>64</v>
      </c>
      <c r="I20" s="2">
        <v>7</v>
      </c>
      <c r="J20" t="s">
        <v>31</v>
      </c>
      <c r="K20" s="2">
        <v>25.2</v>
      </c>
      <c r="L20" s="3">
        <v>64.900000000000006</v>
      </c>
    </row>
    <row r="21" spans="1:12" x14ac:dyDescent="0.3">
      <c r="A21">
        <v>20</v>
      </c>
      <c r="B21" t="s">
        <v>56</v>
      </c>
      <c r="C21">
        <v>2023</v>
      </c>
      <c r="D21" t="s">
        <v>45</v>
      </c>
      <c r="E21" t="s">
        <v>22</v>
      </c>
      <c r="F21">
        <v>160</v>
      </c>
      <c r="G21" s="2">
        <v>66.400000000000006</v>
      </c>
      <c r="H21" s="2">
        <v>217</v>
      </c>
      <c r="I21" s="2">
        <v>6</v>
      </c>
      <c r="J21" t="s">
        <v>57</v>
      </c>
      <c r="K21" s="2">
        <v>150.6</v>
      </c>
      <c r="L21" s="3">
        <v>226.8</v>
      </c>
    </row>
    <row r="22" spans="1:12" x14ac:dyDescent="0.3">
      <c r="A22">
        <v>21</v>
      </c>
      <c r="B22" t="s">
        <v>58</v>
      </c>
      <c r="C22">
        <v>1992</v>
      </c>
      <c r="D22" t="s">
        <v>17</v>
      </c>
      <c r="E22" t="s">
        <v>18</v>
      </c>
      <c r="F22">
        <v>111</v>
      </c>
      <c r="G22" s="2">
        <v>27.3</v>
      </c>
      <c r="H22" s="2">
        <v>19</v>
      </c>
      <c r="I22" s="2">
        <v>7</v>
      </c>
      <c r="J22" t="s">
        <v>59</v>
      </c>
      <c r="K22" s="2">
        <v>-8.3000000000000007</v>
      </c>
      <c r="L22" s="3">
        <v>-30.4</v>
      </c>
    </row>
    <row r="23" spans="1:12" x14ac:dyDescent="0.3">
      <c r="A23">
        <v>22</v>
      </c>
      <c r="B23" t="s">
        <v>60</v>
      </c>
      <c r="C23">
        <v>2007</v>
      </c>
      <c r="D23" t="s">
        <v>47</v>
      </c>
      <c r="E23" t="s">
        <v>14</v>
      </c>
      <c r="F23">
        <v>140</v>
      </c>
      <c r="G23" s="2">
        <v>119.6</v>
      </c>
      <c r="H23" s="2">
        <v>625.6</v>
      </c>
      <c r="I23" s="2">
        <v>6</v>
      </c>
      <c r="J23" t="s">
        <v>15</v>
      </c>
      <c r="K23" s="2">
        <v>506</v>
      </c>
      <c r="L23" s="3">
        <v>423.1</v>
      </c>
    </row>
    <row r="24" spans="1:12" x14ac:dyDescent="0.3">
      <c r="A24">
        <v>23</v>
      </c>
      <c r="B24" t="s">
        <v>61</v>
      </c>
      <c r="C24">
        <v>1991</v>
      </c>
      <c r="D24" t="s">
        <v>21</v>
      </c>
      <c r="E24" t="s">
        <v>39</v>
      </c>
      <c r="F24">
        <v>94</v>
      </c>
      <c r="G24" s="2">
        <v>24.1</v>
      </c>
      <c r="H24" s="2">
        <v>97.4</v>
      </c>
      <c r="I24" s="2">
        <v>7.7</v>
      </c>
      <c r="J24" t="s">
        <v>37</v>
      </c>
      <c r="K24" s="2">
        <v>73.3</v>
      </c>
      <c r="L24" s="3">
        <v>304.10000000000002</v>
      </c>
    </row>
    <row r="25" spans="1:12" x14ac:dyDescent="0.3">
      <c r="A25">
        <v>24</v>
      </c>
      <c r="B25" t="s">
        <v>62</v>
      </c>
      <c r="C25">
        <v>2000</v>
      </c>
      <c r="D25" t="s">
        <v>53</v>
      </c>
      <c r="E25" t="s">
        <v>30</v>
      </c>
      <c r="F25">
        <v>155</v>
      </c>
      <c r="G25" s="2">
        <v>99.4</v>
      </c>
      <c r="H25" s="2">
        <v>367</v>
      </c>
      <c r="I25" s="2">
        <v>7</v>
      </c>
      <c r="J25" t="s">
        <v>23</v>
      </c>
      <c r="K25" s="2">
        <v>267.60000000000002</v>
      </c>
      <c r="L25" s="3">
        <v>269.2</v>
      </c>
    </row>
    <row r="26" spans="1:12" x14ac:dyDescent="0.3">
      <c r="A26">
        <v>25</v>
      </c>
      <c r="B26" t="s">
        <v>63</v>
      </c>
      <c r="C26">
        <v>2007</v>
      </c>
      <c r="D26" t="s">
        <v>13</v>
      </c>
      <c r="E26" t="s">
        <v>22</v>
      </c>
      <c r="F26">
        <v>128</v>
      </c>
      <c r="G26" s="2">
        <v>64.2</v>
      </c>
      <c r="H26" s="2">
        <v>72.599999999999994</v>
      </c>
      <c r="I26" s="2">
        <v>7.1</v>
      </c>
      <c r="J26" t="s">
        <v>51</v>
      </c>
      <c r="K26" s="2">
        <v>8.4</v>
      </c>
      <c r="L26" s="3">
        <v>13.1</v>
      </c>
    </row>
    <row r="27" spans="1:12" x14ac:dyDescent="0.3">
      <c r="A27">
        <v>26</v>
      </c>
      <c r="B27" t="s">
        <v>64</v>
      </c>
      <c r="C27">
        <v>2009</v>
      </c>
      <c r="D27" t="s">
        <v>65</v>
      </c>
      <c r="E27" t="s">
        <v>66</v>
      </c>
      <c r="F27">
        <v>115</v>
      </c>
      <c r="G27" s="2">
        <v>24.2</v>
      </c>
      <c r="H27" s="2">
        <v>55.9</v>
      </c>
      <c r="I27" s="2">
        <v>7.7</v>
      </c>
      <c r="J27" t="s">
        <v>23</v>
      </c>
      <c r="K27" s="2">
        <v>31.7</v>
      </c>
      <c r="L27" s="3">
        <v>131</v>
      </c>
    </row>
    <row r="28" spans="1:12" x14ac:dyDescent="0.3">
      <c r="A28">
        <v>27</v>
      </c>
      <c r="B28" t="s">
        <v>67</v>
      </c>
      <c r="C28">
        <v>1997</v>
      </c>
      <c r="D28" t="s">
        <v>45</v>
      </c>
      <c r="E28" t="s">
        <v>18</v>
      </c>
      <c r="F28">
        <v>146</v>
      </c>
      <c r="G28" s="2">
        <v>16.100000000000001</v>
      </c>
      <c r="H28" s="2">
        <v>16.7</v>
      </c>
      <c r="I28" s="2">
        <v>9.5</v>
      </c>
      <c r="J28" t="s">
        <v>68</v>
      </c>
      <c r="K28" s="2">
        <v>0.6</v>
      </c>
      <c r="L28" s="3">
        <v>3.7</v>
      </c>
    </row>
    <row r="29" spans="1:12" x14ac:dyDescent="0.3">
      <c r="A29">
        <v>28</v>
      </c>
      <c r="B29" t="s">
        <v>69</v>
      </c>
      <c r="C29">
        <v>2006</v>
      </c>
      <c r="D29" t="s">
        <v>21</v>
      </c>
      <c r="E29" t="s">
        <v>22</v>
      </c>
      <c r="F29">
        <v>124</v>
      </c>
      <c r="G29" s="2">
        <v>83.1</v>
      </c>
      <c r="H29" s="2">
        <v>429.4</v>
      </c>
      <c r="I29" s="2">
        <v>7.6</v>
      </c>
      <c r="J29" t="s">
        <v>40</v>
      </c>
      <c r="K29" s="2">
        <v>346.3</v>
      </c>
      <c r="L29" s="3">
        <v>416.7</v>
      </c>
    </row>
    <row r="30" spans="1:12" x14ac:dyDescent="0.3">
      <c r="A30">
        <v>29</v>
      </c>
      <c r="B30" t="s">
        <v>70</v>
      </c>
      <c r="C30">
        <v>2018</v>
      </c>
      <c r="D30" t="s">
        <v>65</v>
      </c>
      <c r="E30" t="s">
        <v>66</v>
      </c>
      <c r="F30">
        <v>103</v>
      </c>
      <c r="G30" s="2">
        <v>20.9</v>
      </c>
      <c r="H30" s="2">
        <v>65.400000000000006</v>
      </c>
      <c r="I30" s="2">
        <v>6.3</v>
      </c>
      <c r="J30" t="s">
        <v>31</v>
      </c>
      <c r="K30" s="2">
        <v>44.5</v>
      </c>
      <c r="L30" s="3">
        <v>212.9</v>
      </c>
    </row>
    <row r="31" spans="1:12" x14ac:dyDescent="0.3">
      <c r="A31">
        <v>30</v>
      </c>
      <c r="B31" t="s">
        <v>71</v>
      </c>
      <c r="C31">
        <v>2014</v>
      </c>
      <c r="D31" t="s">
        <v>65</v>
      </c>
      <c r="E31" t="s">
        <v>30</v>
      </c>
      <c r="F31">
        <v>112</v>
      </c>
      <c r="G31" s="2">
        <v>104.7</v>
      </c>
      <c r="H31" s="2">
        <v>165.4</v>
      </c>
      <c r="I31" s="2">
        <v>6.1</v>
      </c>
      <c r="J31" t="s">
        <v>28</v>
      </c>
      <c r="K31" s="2">
        <v>60.7</v>
      </c>
      <c r="L31" s="3">
        <v>58</v>
      </c>
    </row>
    <row r="32" spans="1:12" x14ac:dyDescent="0.3">
      <c r="A32">
        <v>31</v>
      </c>
      <c r="B32" t="s">
        <v>72</v>
      </c>
      <c r="C32">
        <v>2016</v>
      </c>
      <c r="D32" t="s">
        <v>65</v>
      </c>
      <c r="E32" t="s">
        <v>22</v>
      </c>
      <c r="F32">
        <v>152</v>
      </c>
      <c r="G32" s="2">
        <v>143.30000000000001</v>
      </c>
      <c r="H32" s="2">
        <v>226.8</v>
      </c>
      <c r="I32" s="2">
        <v>7.9</v>
      </c>
      <c r="J32" t="s">
        <v>28</v>
      </c>
      <c r="K32" s="2">
        <v>83.5</v>
      </c>
      <c r="L32" s="3">
        <v>58.3</v>
      </c>
    </row>
    <row r="33" spans="1:12" x14ac:dyDescent="0.3">
      <c r="A33">
        <v>32</v>
      </c>
      <c r="B33" t="s">
        <v>73</v>
      </c>
      <c r="C33">
        <v>2024</v>
      </c>
      <c r="D33" t="s">
        <v>13</v>
      </c>
      <c r="E33" t="s">
        <v>18</v>
      </c>
      <c r="F33">
        <v>109</v>
      </c>
      <c r="G33" s="2">
        <v>4.9000000000000004</v>
      </c>
      <c r="H33" s="2">
        <v>2.7</v>
      </c>
      <c r="I33" s="2">
        <v>7.5</v>
      </c>
      <c r="J33" t="s">
        <v>19</v>
      </c>
      <c r="K33" s="2">
        <v>-2.2000000000000002</v>
      </c>
      <c r="L33" s="3">
        <v>-44.9</v>
      </c>
    </row>
    <row r="34" spans="1:12" x14ac:dyDescent="0.3">
      <c r="A34">
        <v>33</v>
      </c>
      <c r="B34" t="s">
        <v>74</v>
      </c>
      <c r="C34">
        <v>2005</v>
      </c>
      <c r="D34" t="s">
        <v>25</v>
      </c>
      <c r="E34" t="s">
        <v>18</v>
      </c>
      <c r="F34">
        <v>129</v>
      </c>
      <c r="G34" s="2">
        <v>6.3</v>
      </c>
      <c r="H34" s="2">
        <v>2.9</v>
      </c>
      <c r="I34" s="2">
        <v>9.1999999999999993</v>
      </c>
      <c r="J34" t="s">
        <v>75</v>
      </c>
      <c r="K34" s="2">
        <v>-3.4</v>
      </c>
      <c r="L34" s="3">
        <v>-54</v>
      </c>
    </row>
    <row r="35" spans="1:12" x14ac:dyDescent="0.3">
      <c r="A35">
        <v>34</v>
      </c>
      <c r="B35" t="s">
        <v>76</v>
      </c>
      <c r="C35">
        <v>2011</v>
      </c>
      <c r="D35" t="s">
        <v>17</v>
      </c>
      <c r="E35" t="s">
        <v>22</v>
      </c>
      <c r="F35">
        <v>78</v>
      </c>
      <c r="G35" s="2">
        <v>14.6</v>
      </c>
      <c r="H35" s="2">
        <v>66.400000000000006</v>
      </c>
      <c r="I35" s="2">
        <v>7.5</v>
      </c>
      <c r="J35" t="s">
        <v>31</v>
      </c>
      <c r="K35" s="2">
        <v>51.8</v>
      </c>
      <c r="L35" s="3">
        <v>354.8</v>
      </c>
    </row>
    <row r="36" spans="1:12" x14ac:dyDescent="0.3">
      <c r="A36">
        <v>35</v>
      </c>
      <c r="B36" t="s">
        <v>77</v>
      </c>
      <c r="C36">
        <v>1994</v>
      </c>
      <c r="D36" t="s">
        <v>27</v>
      </c>
      <c r="E36" t="s">
        <v>18</v>
      </c>
      <c r="F36">
        <v>159</v>
      </c>
      <c r="G36" s="2">
        <v>22.3</v>
      </c>
      <c r="H36" s="2">
        <v>94.2</v>
      </c>
      <c r="I36" s="2">
        <v>5.3</v>
      </c>
      <c r="J36" t="s">
        <v>59</v>
      </c>
      <c r="K36" s="2">
        <v>71.900000000000006</v>
      </c>
      <c r="L36" s="3">
        <v>322.39999999999998</v>
      </c>
    </row>
    <row r="37" spans="1:12" x14ac:dyDescent="0.3">
      <c r="A37">
        <v>36</v>
      </c>
      <c r="B37" t="s">
        <v>78</v>
      </c>
      <c r="C37">
        <v>2006</v>
      </c>
      <c r="D37" t="s">
        <v>65</v>
      </c>
      <c r="E37" t="s">
        <v>22</v>
      </c>
      <c r="F37">
        <v>129</v>
      </c>
      <c r="G37" s="2">
        <v>36.4</v>
      </c>
      <c r="H37" s="2">
        <v>36.200000000000003</v>
      </c>
      <c r="I37" s="2">
        <v>8.6</v>
      </c>
      <c r="J37" t="s">
        <v>79</v>
      </c>
      <c r="K37" s="2">
        <v>-0.2</v>
      </c>
      <c r="L37" s="3">
        <v>-0.5</v>
      </c>
    </row>
    <row r="38" spans="1:12" x14ac:dyDescent="0.3">
      <c r="A38">
        <v>37</v>
      </c>
      <c r="B38" t="s">
        <v>80</v>
      </c>
      <c r="C38">
        <v>1990</v>
      </c>
      <c r="D38" t="s">
        <v>27</v>
      </c>
      <c r="E38" t="s">
        <v>22</v>
      </c>
      <c r="F38">
        <v>148</v>
      </c>
      <c r="G38" s="2">
        <v>168</v>
      </c>
      <c r="H38" s="2">
        <v>325.3</v>
      </c>
      <c r="I38" s="2">
        <v>9</v>
      </c>
      <c r="J38" t="s">
        <v>51</v>
      </c>
      <c r="K38" s="2">
        <v>157.30000000000001</v>
      </c>
      <c r="L38" s="3">
        <v>93.6</v>
      </c>
    </row>
    <row r="39" spans="1:12" x14ac:dyDescent="0.3">
      <c r="A39">
        <v>38</v>
      </c>
      <c r="B39" t="s">
        <v>81</v>
      </c>
      <c r="C39">
        <v>1992</v>
      </c>
      <c r="D39" t="s">
        <v>13</v>
      </c>
      <c r="E39" t="s">
        <v>22</v>
      </c>
      <c r="F39">
        <v>150</v>
      </c>
      <c r="G39" s="2">
        <v>50.4</v>
      </c>
      <c r="H39" s="2">
        <v>40.6</v>
      </c>
      <c r="I39" s="2">
        <v>6.4</v>
      </c>
      <c r="J39" t="s">
        <v>40</v>
      </c>
      <c r="K39" s="2">
        <v>-9.8000000000000007</v>
      </c>
      <c r="L39" s="3">
        <v>-19.399999999999999</v>
      </c>
    </row>
    <row r="40" spans="1:12" x14ac:dyDescent="0.3">
      <c r="A40">
        <v>39</v>
      </c>
      <c r="B40" t="s">
        <v>82</v>
      </c>
      <c r="C40">
        <v>2019</v>
      </c>
      <c r="D40" t="s">
        <v>47</v>
      </c>
      <c r="E40" t="s">
        <v>18</v>
      </c>
      <c r="F40">
        <v>142</v>
      </c>
      <c r="G40" s="2">
        <v>18.8</v>
      </c>
      <c r="H40" s="2">
        <v>34.9</v>
      </c>
      <c r="I40" s="2">
        <v>9</v>
      </c>
      <c r="J40" t="s">
        <v>75</v>
      </c>
      <c r="K40" s="2">
        <v>16.100000000000001</v>
      </c>
      <c r="L40" s="3">
        <v>85.6</v>
      </c>
    </row>
    <row r="41" spans="1:12" x14ac:dyDescent="0.3">
      <c r="A41">
        <v>40</v>
      </c>
      <c r="B41" t="s">
        <v>83</v>
      </c>
      <c r="C41">
        <v>1999</v>
      </c>
      <c r="D41" t="s">
        <v>53</v>
      </c>
      <c r="E41" t="s">
        <v>18</v>
      </c>
      <c r="F41">
        <v>112</v>
      </c>
      <c r="G41" s="2">
        <v>12.5</v>
      </c>
      <c r="H41" s="2">
        <v>31</v>
      </c>
      <c r="I41" s="2">
        <v>9.1999999999999993</v>
      </c>
      <c r="J41" t="s">
        <v>75</v>
      </c>
      <c r="K41" s="2">
        <v>18.5</v>
      </c>
      <c r="L41" s="3">
        <v>148</v>
      </c>
    </row>
    <row r="42" spans="1:12" x14ac:dyDescent="0.3">
      <c r="A42">
        <v>41</v>
      </c>
      <c r="B42" t="s">
        <v>84</v>
      </c>
      <c r="C42">
        <v>1994</v>
      </c>
      <c r="D42" t="s">
        <v>45</v>
      </c>
      <c r="E42" t="s">
        <v>14</v>
      </c>
      <c r="F42">
        <v>126</v>
      </c>
      <c r="G42" s="2">
        <v>48.7</v>
      </c>
      <c r="H42" s="2">
        <v>207.4</v>
      </c>
      <c r="I42" s="2">
        <v>5.4</v>
      </c>
      <c r="J42" t="s">
        <v>15</v>
      </c>
      <c r="K42" s="2">
        <v>158.69999999999999</v>
      </c>
      <c r="L42" s="3">
        <v>325.89999999999998</v>
      </c>
    </row>
    <row r="43" spans="1:12" x14ac:dyDescent="0.3">
      <c r="A43">
        <v>42</v>
      </c>
      <c r="B43" t="s">
        <v>85</v>
      </c>
      <c r="C43">
        <v>2022</v>
      </c>
      <c r="D43" t="s">
        <v>27</v>
      </c>
      <c r="E43" t="s">
        <v>22</v>
      </c>
      <c r="F43">
        <v>157</v>
      </c>
      <c r="G43" s="2">
        <v>152.5</v>
      </c>
      <c r="H43" s="2">
        <v>596.20000000000005</v>
      </c>
      <c r="I43" s="2">
        <v>7.5</v>
      </c>
      <c r="J43" t="s">
        <v>40</v>
      </c>
      <c r="K43" s="2">
        <v>443.7</v>
      </c>
      <c r="L43" s="3">
        <v>291</v>
      </c>
    </row>
    <row r="44" spans="1:12" x14ac:dyDescent="0.3">
      <c r="A44">
        <v>43</v>
      </c>
      <c r="B44" t="s">
        <v>86</v>
      </c>
      <c r="C44">
        <v>2018</v>
      </c>
      <c r="D44" t="s">
        <v>25</v>
      </c>
      <c r="E44" t="s">
        <v>22</v>
      </c>
      <c r="F44">
        <v>127</v>
      </c>
      <c r="G44" s="2">
        <v>47.1</v>
      </c>
      <c r="H44" s="2">
        <v>94</v>
      </c>
      <c r="I44" s="2">
        <v>6.1</v>
      </c>
      <c r="J44" t="s">
        <v>34</v>
      </c>
      <c r="K44" s="2">
        <v>46.9</v>
      </c>
      <c r="L44" s="3">
        <v>99.6</v>
      </c>
    </row>
    <row r="45" spans="1:12" x14ac:dyDescent="0.3">
      <c r="A45">
        <v>44</v>
      </c>
      <c r="B45" t="s">
        <v>87</v>
      </c>
      <c r="C45">
        <v>1999</v>
      </c>
      <c r="D45" t="s">
        <v>25</v>
      </c>
      <c r="E45" t="s">
        <v>18</v>
      </c>
      <c r="F45">
        <v>164</v>
      </c>
      <c r="G45" s="2">
        <v>5.5</v>
      </c>
      <c r="H45" s="2">
        <v>19.600000000000001</v>
      </c>
      <c r="I45" s="2">
        <v>8.3000000000000007</v>
      </c>
      <c r="J45" t="s">
        <v>68</v>
      </c>
      <c r="K45" s="2">
        <v>14.1</v>
      </c>
      <c r="L45" s="3">
        <v>256.39999999999998</v>
      </c>
    </row>
    <row r="46" spans="1:12" x14ac:dyDescent="0.3">
      <c r="A46">
        <v>45</v>
      </c>
      <c r="B46" t="s">
        <v>88</v>
      </c>
      <c r="C46">
        <v>2025</v>
      </c>
      <c r="D46" t="s">
        <v>65</v>
      </c>
      <c r="E46" t="s">
        <v>18</v>
      </c>
      <c r="F46">
        <v>143</v>
      </c>
      <c r="G46" s="2">
        <v>19</v>
      </c>
      <c r="H46" s="2">
        <v>50.9</v>
      </c>
      <c r="I46" s="2">
        <v>5.5</v>
      </c>
      <c r="J46" t="s">
        <v>48</v>
      </c>
      <c r="K46" s="2">
        <v>31.9</v>
      </c>
      <c r="L46" s="3">
        <v>167.9</v>
      </c>
    </row>
    <row r="47" spans="1:12" x14ac:dyDescent="0.3">
      <c r="A47">
        <v>46</v>
      </c>
      <c r="B47" t="s">
        <v>89</v>
      </c>
      <c r="C47">
        <v>2021</v>
      </c>
      <c r="D47" t="s">
        <v>65</v>
      </c>
      <c r="E47" t="s">
        <v>66</v>
      </c>
      <c r="F47">
        <v>94</v>
      </c>
      <c r="G47" s="2">
        <v>120.7</v>
      </c>
      <c r="H47" s="2">
        <v>93.5</v>
      </c>
      <c r="I47" s="2">
        <v>7.8</v>
      </c>
      <c r="J47" t="s">
        <v>37</v>
      </c>
      <c r="K47" s="2">
        <v>-27.2</v>
      </c>
      <c r="L47" s="3">
        <v>-22.5</v>
      </c>
    </row>
    <row r="48" spans="1:12" x14ac:dyDescent="0.3">
      <c r="A48">
        <v>47</v>
      </c>
      <c r="B48" t="s">
        <v>90</v>
      </c>
      <c r="C48">
        <v>2006</v>
      </c>
      <c r="D48" t="s">
        <v>17</v>
      </c>
      <c r="E48" t="s">
        <v>22</v>
      </c>
      <c r="F48">
        <v>142</v>
      </c>
      <c r="G48" s="2">
        <v>51.5</v>
      </c>
      <c r="H48" s="2">
        <v>122.4</v>
      </c>
      <c r="I48" s="2">
        <v>6.9</v>
      </c>
      <c r="J48" t="s">
        <v>91</v>
      </c>
      <c r="K48" s="2">
        <v>70.900000000000006</v>
      </c>
      <c r="L48" s="3">
        <v>137.69999999999999</v>
      </c>
    </row>
    <row r="49" spans="1:12" x14ac:dyDescent="0.3">
      <c r="A49">
        <v>48</v>
      </c>
      <c r="B49" t="s">
        <v>92</v>
      </c>
      <c r="C49">
        <v>2003</v>
      </c>
      <c r="D49" t="s">
        <v>45</v>
      </c>
      <c r="E49" t="s">
        <v>22</v>
      </c>
      <c r="F49">
        <v>109</v>
      </c>
      <c r="G49" s="2">
        <v>35.200000000000003</v>
      </c>
      <c r="H49" s="2">
        <v>57.6</v>
      </c>
      <c r="I49" s="2">
        <v>9</v>
      </c>
      <c r="J49" t="s">
        <v>79</v>
      </c>
      <c r="K49" s="2">
        <v>22.4</v>
      </c>
      <c r="L49" s="3">
        <v>63.6</v>
      </c>
    </row>
    <row r="50" spans="1:12" x14ac:dyDescent="0.3">
      <c r="A50">
        <v>49</v>
      </c>
      <c r="B50" t="s">
        <v>93</v>
      </c>
      <c r="C50">
        <v>2014</v>
      </c>
      <c r="D50" t="s">
        <v>17</v>
      </c>
      <c r="E50" t="s">
        <v>22</v>
      </c>
      <c r="F50">
        <v>140</v>
      </c>
      <c r="G50" s="2">
        <v>104.1</v>
      </c>
      <c r="H50" s="2">
        <v>93.8</v>
      </c>
      <c r="I50" s="2">
        <v>6.5</v>
      </c>
      <c r="J50" t="s">
        <v>40</v>
      </c>
      <c r="K50" s="2">
        <v>-10.3</v>
      </c>
      <c r="L50" s="3">
        <v>-9.9</v>
      </c>
    </row>
    <row r="51" spans="1:12" x14ac:dyDescent="0.3">
      <c r="A51">
        <v>50</v>
      </c>
      <c r="B51" t="s">
        <v>94</v>
      </c>
      <c r="C51">
        <v>2020</v>
      </c>
      <c r="D51" t="s">
        <v>25</v>
      </c>
      <c r="E51" t="s">
        <v>18</v>
      </c>
      <c r="F51">
        <v>124</v>
      </c>
      <c r="G51" s="2">
        <v>19</v>
      </c>
      <c r="H51" s="2">
        <v>13</v>
      </c>
      <c r="I51" s="2">
        <v>8.3000000000000007</v>
      </c>
      <c r="J51" t="s">
        <v>59</v>
      </c>
      <c r="K51" s="2">
        <v>-6</v>
      </c>
      <c r="L51" s="3">
        <v>-31.6</v>
      </c>
    </row>
    <row r="52" spans="1:12" x14ac:dyDescent="0.3">
      <c r="A52">
        <v>51</v>
      </c>
      <c r="B52" t="s">
        <v>95</v>
      </c>
      <c r="C52">
        <v>1996</v>
      </c>
      <c r="D52" t="s">
        <v>65</v>
      </c>
      <c r="E52" t="s">
        <v>22</v>
      </c>
      <c r="F52">
        <v>138</v>
      </c>
      <c r="G52" s="2">
        <v>125.1</v>
      </c>
      <c r="H52" s="2">
        <v>88.4</v>
      </c>
      <c r="I52" s="2">
        <v>5.8</v>
      </c>
      <c r="J52" t="s">
        <v>91</v>
      </c>
      <c r="K52" s="2">
        <v>-36.700000000000003</v>
      </c>
      <c r="L52" s="3">
        <v>-29.3</v>
      </c>
    </row>
    <row r="53" spans="1:12" x14ac:dyDescent="0.3">
      <c r="A53">
        <v>52</v>
      </c>
      <c r="B53" t="s">
        <v>96</v>
      </c>
      <c r="C53">
        <v>2006</v>
      </c>
      <c r="D53" t="s">
        <v>53</v>
      </c>
      <c r="E53" t="s">
        <v>30</v>
      </c>
      <c r="F53">
        <v>89</v>
      </c>
      <c r="G53" s="2">
        <v>82.1</v>
      </c>
      <c r="H53" s="2">
        <v>152.9</v>
      </c>
      <c r="I53" s="2">
        <v>8.4</v>
      </c>
      <c r="J53" t="s">
        <v>23</v>
      </c>
      <c r="K53" s="2">
        <v>70.8</v>
      </c>
      <c r="L53" s="3">
        <v>86.2</v>
      </c>
    </row>
    <row r="54" spans="1:12" x14ac:dyDescent="0.3">
      <c r="A54">
        <v>53</v>
      </c>
      <c r="B54" t="s">
        <v>97</v>
      </c>
      <c r="C54">
        <v>2015</v>
      </c>
      <c r="D54" t="s">
        <v>65</v>
      </c>
      <c r="E54" t="s">
        <v>22</v>
      </c>
      <c r="F54">
        <v>107</v>
      </c>
      <c r="G54" s="2">
        <v>62.7</v>
      </c>
      <c r="H54" s="2">
        <v>51.7</v>
      </c>
      <c r="I54" s="2">
        <v>7.4</v>
      </c>
      <c r="J54" t="s">
        <v>34</v>
      </c>
      <c r="K54" s="2">
        <v>-11</v>
      </c>
      <c r="L54" s="3">
        <v>-17.5</v>
      </c>
    </row>
    <row r="55" spans="1:12" x14ac:dyDescent="0.3">
      <c r="A55">
        <v>54</v>
      </c>
      <c r="B55" t="s">
        <v>98</v>
      </c>
      <c r="C55">
        <v>1990</v>
      </c>
      <c r="D55" t="s">
        <v>45</v>
      </c>
      <c r="E55" t="s">
        <v>22</v>
      </c>
      <c r="F55">
        <v>104</v>
      </c>
      <c r="G55" s="2">
        <v>22</v>
      </c>
      <c r="H55" s="2">
        <v>87.3</v>
      </c>
      <c r="I55" s="2">
        <v>6.3</v>
      </c>
      <c r="J55" t="s">
        <v>91</v>
      </c>
      <c r="K55" s="2">
        <v>65.3</v>
      </c>
      <c r="L55" s="3">
        <v>296.8</v>
      </c>
    </row>
    <row r="56" spans="1:12" x14ac:dyDescent="0.3">
      <c r="A56">
        <v>55</v>
      </c>
      <c r="B56" t="s">
        <v>99</v>
      </c>
      <c r="C56">
        <v>1995</v>
      </c>
      <c r="D56" t="s">
        <v>36</v>
      </c>
      <c r="E56" t="s">
        <v>33</v>
      </c>
      <c r="F56">
        <v>146</v>
      </c>
      <c r="G56" s="2">
        <v>29.2</v>
      </c>
      <c r="H56" s="2">
        <v>21.3</v>
      </c>
      <c r="I56" s="2">
        <v>6.7</v>
      </c>
      <c r="J56" t="s">
        <v>51</v>
      </c>
      <c r="K56" s="2">
        <v>-7.9</v>
      </c>
      <c r="L56" s="3">
        <v>-27.1</v>
      </c>
    </row>
    <row r="57" spans="1:12" x14ac:dyDescent="0.3">
      <c r="A57">
        <v>56</v>
      </c>
      <c r="B57" t="s">
        <v>100</v>
      </c>
      <c r="C57">
        <v>2004</v>
      </c>
      <c r="D57" t="s">
        <v>27</v>
      </c>
      <c r="E57" t="s">
        <v>66</v>
      </c>
      <c r="F57">
        <v>111</v>
      </c>
      <c r="G57" s="2">
        <v>335.9</v>
      </c>
      <c r="H57" s="2">
        <v>645.9</v>
      </c>
      <c r="I57" s="2">
        <v>6.4</v>
      </c>
      <c r="J57" t="s">
        <v>79</v>
      </c>
      <c r="K57" s="2">
        <v>310</v>
      </c>
      <c r="L57" s="3">
        <v>92.3</v>
      </c>
    </row>
    <row r="58" spans="1:12" x14ac:dyDescent="0.3">
      <c r="A58">
        <v>57</v>
      </c>
      <c r="B58" t="s">
        <v>101</v>
      </c>
      <c r="C58">
        <v>2017</v>
      </c>
      <c r="D58" t="s">
        <v>45</v>
      </c>
      <c r="E58" t="s">
        <v>22</v>
      </c>
      <c r="F58">
        <v>105</v>
      </c>
      <c r="G58" s="2">
        <v>23.8</v>
      </c>
      <c r="H58" s="2">
        <v>35.799999999999997</v>
      </c>
      <c r="I58" s="2">
        <v>6.7</v>
      </c>
      <c r="J58" t="s">
        <v>34</v>
      </c>
      <c r="K58" s="2">
        <v>12</v>
      </c>
      <c r="L58" s="3">
        <v>50.4</v>
      </c>
    </row>
    <row r="59" spans="1:12" x14ac:dyDescent="0.3">
      <c r="A59">
        <v>58</v>
      </c>
      <c r="B59" t="s">
        <v>102</v>
      </c>
      <c r="C59">
        <v>1998</v>
      </c>
      <c r="D59" t="s">
        <v>65</v>
      </c>
      <c r="E59" t="s">
        <v>33</v>
      </c>
      <c r="F59">
        <v>123</v>
      </c>
      <c r="G59" s="2">
        <v>113.4</v>
      </c>
      <c r="H59" s="2">
        <v>200.4</v>
      </c>
      <c r="I59" s="2">
        <v>8.4</v>
      </c>
      <c r="J59" t="s">
        <v>23</v>
      </c>
      <c r="K59" s="2">
        <v>87</v>
      </c>
      <c r="L59" s="3">
        <v>76.7</v>
      </c>
    </row>
    <row r="60" spans="1:12" x14ac:dyDescent="0.3">
      <c r="A60">
        <v>59</v>
      </c>
      <c r="B60" t="s">
        <v>103</v>
      </c>
      <c r="C60">
        <v>2019</v>
      </c>
      <c r="D60" t="s">
        <v>47</v>
      </c>
      <c r="E60" t="s">
        <v>22</v>
      </c>
      <c r="F60">
        <v>159</v>
      </c>
      <c r="G60" s="2">
        <v>46.5</v>
      </c>
      <c r="H60" s="2">
        <v>151.6</v>
      </c>
      <c r="I60" s="2">
        <v>6.5</v>
      </c>
      <c r="J60" t="s">
        <v>31</v>
      </c>
      <c r="K60" s="2">
        <v>105.1</v>
      </c>
      <c r="L60" s="3">
        <v>226</v>
      </c>
    </row>
    <row r="61" spans="1:12" x14ac:dyDescent="0.3">
      <c r="A61">
        <v>60</v>
      </c>
      <c r="B61" t="s">
        <v>104</v>
      </c>
      <c r="C61">
        <v>2016</v>
      </c>
      <c r="D61" t="s">
        <v>17</v>
      </c>
      <c r="E61" t="s">
        <v>22</v>
      </c>
      <c r="F61">
        <v>160</v>
      </c>
      <c r="G61" s="2">
        <v>19.7</v>
      </c>
      <c r="H61" s="2">
        <v>14.4</v>
      </c>
      <c r="I61" s="2">
        <v>6.6</v>
      </c>
      <c r="J61" t="s">
        <v>91</v>
      </c>
      <c r="K61" s="2">
        <v>-5.3</v>
      </c>
      <c r="L61" s="3">
        <v>-26.9</v>
      </c>
    </row>
    <row r="62" spans="1:12" x14ac:dyDescent="0.3">
      <c r="A62">
        <v>61</v>
      </c>
      <c r="B62" t="s">
        <v>105</v>
      </c>
      <c r="C62">
        <v>1995</v>
      </c>
      <c r="D62" t="s">
        <v>45</v>
      </c>
      <c r="E62" t="s">
        <v>22</v>
      </c>
      <c r="F62">
        <v>125</v>
      </c>
      <c r="G62" s="2">
        <v>67.3</v>
      </c>
      <c r="H62" s="2">
        <v>239.9</v>
      </c>
      <c r="I62" s="2">
        <v>6.8</v>
      </c>
      <c r="J62" t="s">
        <v>40</v>
      </c>
      <c r="K62" s="2">
        <v>172.6</v>
      </c>
      <c r="L62" s="3">
        <v>256.5</v>
      </c>
    </row>
    <row r="63" spans="1:12" x14ac:dyDescent="0.3">
      <c r="A63">
        <v>62</v>
      </c>
      <c r="B63" t="s">
        <v>106</v>
      </c>
      <c r="C63">
        <v>1990</v>
      </c>
      <c r="D63" t="s">
        <v>53</v>
      </c>
      <c r="E63" t="s">
        <v>18</v>
      </c>
      <c r="F63">
        <v>85</v>
      </c>
      <c r="G63" s="2">
        <v>1.5</v>
      </c>
      <c r="H63" s="2">
        <v>3.6</v>
      </c>
      <c r="I63" s="2">
        <v>6.9</v>
      </c>
      <c r="J63" t="s">
        <v>19</v>
      </c>
      <c r="K63" s="2">
        <v>2.1</v>
      </c>
      <c r="L63" s="3">
        <v>140</v>
      </c>
    </row>
    <row r="64" spans="1:12" x14ac:dyDescent="0.3">
      <c r="A64">
        <v>63</v>
      </c>
      <c r="B64" t="s">
        <v>107</v>
      </c>
      <c r="C64">
        <v>2001</v>
      </c>
      <c r="D64" t="s">
        <v>47</v>
      </c>
      <c r="E64" t="s">
        <v>18</v>
      </c>
      <c r="F64">
        <v>99</v>
      </c>
      <c r="G64" s="2">
        <v>9.8000000000000007</v>
      </c>
      <c r="H64" s="2">
        <v>4.5</v>
      </c>
      <c r="I64" s="2">
        <v>7.7</v>
      </c>
      <c r="J64" t="s">
        <v>59</v>
      </c>
      <c r="K64" s="2">
        <v>-5.3</v>
      </c>
      <c r="L64" s="3">
        <v>-54.1</v>
      </c>
    </row>
    <row r="65" spans="1:12" x14ac:dyDescent="0.3">
      <c r="A65">
        <v>64</v>
      </c>
      <c r="B65" t="s">
        <v>108</v>
      </c>
      <c r="C65">
        <v>1991</v>
      </c>
      <c r="D65" t="s">
        <v>36</v>
      </c>
      <c r="E65" t="s">
        <v>14</v>
      </c>
      <c r="F65">
        <v>159</v>
      </c>
      <c r="G65" s="2">
        <v>143.80000000000001</v>
      </c>
      <c r="H65" s="2">
        <v>272.8</v>
      </c>
      <c r="I65" s="2">
        <v>5.5</v>
      </c>
      <c r="J65" t="s">
        <v>15</v>
      </c>
      <c r="K65" s="2">
        <v>129</v>
      </c>
      <c r="L65" s="3">
        <v>89.7</v>
      </c>
    </row>
    <row r="66" spans="1:12" x14ac:dyDescent="0.3">
      <c r="A66">
        <v>65</v>
      </c>
      <c r="B66" t="s">
        <v>109</v>
      </c>
      <c r="C66">
        <v>2016</v>
      </c>
      <c r="D66" t="s">
        <v>25</v>
      </c>
      <c r="E66" t="s">
        <v>18</v>
      </c>
      <c r="F66">
        <v>112</v>
      </c>
      <c r="G66" s="2">
        <v>32.6</v>
      </c>
      <c r="H66" s="2">
        <v>80.8</v>
      </c>
      <c r="I66" s="2">
        <v>5.6</v>
      </c>
      <c r="J66" t="s">
        <v>19</v>
      </c>
      <c r="K66" s="2">
        <v>48.2</v>
      </c>
      <c r="L66" s="3">
        <v>147.9</v>
      </c>
    </row>
    <row r="67" spans="1:12" x14ac:dyDescent="0.3">
      <c r="A67">
        <v>66</v>
      </c>
      <c r="B67" t="s">
        <v>110</v>
      </c>
      <c r="C67">
        <v>2013</v>
      </c>
      <c r="D67" t="s">
        <v>25</v>
      </c>
      <c r="E67" t="s">
        <v>18</v>
      </c>
      <c r="F67">
        <v>123</v>
      </c>
      <c r="G67" s="2">
        <v>3.1</v>
      </c>
      <c r="H67" s="2">
        <v>6.8</v>
      </c>
      <c r="I67" s="2">
        <v>7.9</v>
      </c>
      <c r="J67" t="s">
        <v>59</v>
      </c>
      <c r="K67" s="2">
        <v>3.7</v>
      </c>
      <c r="L67" s="3">
        <v>119.4</v>
      </c>
    </row>
    <row r="68" spans="1:12" x14ac:dyDescent="0.3">
      <c r="A68">
        <v>67</v>
      </c>
      <c r="B68" t="s">
        <v>111</v>
      </c>
      <c r="C68">
        <v>2012</v>
      </c>
      <c r="D68" t="s">
        <v>25</v>
      </c>
      <c r="E68" t="s">
        <v>22</v>
      </c>
      <c r="F68">
        <v>102</v>
      </c>
      <c r="G68" s="2">
        <v>99</v>
      </c>
      <c r="H68" s="2">
        <v>361</v>
      </c>
      <c r="I68" s="2">
        <v>8</v>
      </c>
      <c r="J68" t="s">
        <v>51</v>
      </c>
      <c r="K68" s="2">
        <v>262</v>
      </c>
      <c r="L68" s="3">
        <v>264.60000000000002</v>
      </c>
    </row>
    <row r="69" spans="1:12" x14ac:dyDescent="0.3">
      <c r="A69">
        <v>68</v>
      </c>
      <c r="B69" t="s">
        <v>112</v>
      </c>
      <c r="C69">
        <v>2016</v>
      </c>
      <c r="D69" t="s">
        <v>45</v>
      </c>
      <c r="E69" t="s">
        <v>22</v>
      </c>
      <c r="F69">
        <v>119</v>
      </c>
      <c r="G69" s="2">
        <v>103.2</v>
      </c>
      <c r="H69" s="2">
        <v>190.7</v>
      </c>
      <c r="I69" s="2">
        <v>6.6</v>
      </c>
      <c r="J69" t="s">
        <v>79</v>
      </c>
      <c r="K69" s="2">
        <v>87.5</v>
      </c>
      <c r="L69" s="3">
        <v>84.8</v>
      </c>
    </row>
    <row r="70" spans="1:12" x14ac:dyDescent="0.3">
      <c r="A70">
        <v>69</v>
      </c>
      <c r="B70" t="s">
        <v>113</v>
      </c>
      <c r="C70">
        <v>2011</v>
      </c>
      <c r="D70" t="s">
        <v>25</v>
      </c>
      <c r="E70" t="s">
        <v>22</v>
      </c>
      <c r="F70">
        <v>144</v>
      </c>
      <c r="G70" s="2">
        <v>52.4</v>
      </c>
      <c r="H70" s="2">
        <v>54.5</v>
      </c>
      <c r="I70" s="2">
        <v>6</v>
      </c>
      <c r="J70" t="s">
        <v>91</v>
      </c>
      <c r="K70" s="2">
        <v>2.1</v>
      </c>
      <c r="L70" s="3">
        <v>4</v>
      </c>
    </row>
    <row r="71" spans="1:12" x14ac:dyDescent="0.3">
      <c r="A71">
        <v>70</v>
      </c>
      <c r="B71" t="s">
        <v>114</v>
      </c>
      <c r="C71">
        <v>2015</v>
      </c>
      <c r="D71" t="s">
        <v>36</v>
      </c>
      <c r="E71" t="s">
        <v>18</v>
      </c>
      <c r="F71">
        <v>95</v>
      </c>
      <c r="G71" s="2">
        <v>22.7</v>
      </c>
      <c r="H71" s="2">
        <v>54.7</v>
      </c>
      <c r="I71" s="2">
        <v>6.5</v>
      </c>
      <c r="J71" t="s">
        <v>59</v>
      </c>
      <c r="K71" s="2">
        <v>32</v>
      </c>
      <c r="L71" s="3">
        <v>141</v>
      </c>
    </row>
    <row r="72" spans="1:12" x14ac:dyDescent="0.3">
      <c r="A72">
        <v>71</v>
      </c>
      <c r="B72" t="s">
        <v>115</v>
      </c>
      <c r="C72">
        <v>2004</v>
      </c>
      <c r="D72" t="s">
        <v>17</v>
      </c>
      <c r="E72" t="s">
        <v>18</v>
      </c>
      <c r="F72">
        <v>109</v>
      </c>
      <c r="G72" s="2">
        <v>2.2999999999999998</v>
      </c>
      <c r="H72" s="2">
        <v>7.2</v>
      </c>
      <c r="I72" s="2">
        <v>7.6</v>
      </c>
      <c r="J72" t="s">
        <v>68</v>
      </c>
      <c r="K72" s="2">
        <v>4.9000000000000004</v>
      </c>
      <c r="L72" s="3">
        <v>213</v>
      </c>
    </row>
    <row r="73" spans="1:12" x14ac:dyDescent="0.3">
      <c r="A73">
        <v>72</v>
      </c>
      <c r="B73" t="s">
        <v>116</v>
      </c>
      <c r="C73">
        <v>2007</v>
      </c>
      <c r="D73" t="s">
        <v>27</v>
      </c>
      <c r="E73" t="s">
        <v>22</v>
      </c>
      <c r="F73">
        <v>132</v>
      </c>
      <c r="G73" s="2">
        <v>36.5</v>
      </c>
      <c r="H73" s="2">
        <v>125.7</v>
      </c>
      <c r="I73" s="2">
        <v>7.6</v>
      </c>
      <c r="J73" t="s">
        <v>91</v>
      </c>
      <c r="K73" s="2">
        <v>89.2</v>
      </c>
      <c r="L73" s="3">
        <v>244.4</v>
      </c>
    </row>
    <row r="74" spans="1:12" x14ac:dyDescent="0.3">
      <c r="A74">
        <v>73</v>
      </c>
      <c r="B74" t="s">
        <v>117</v>
      </c>
      <c r="C74">
        <v>2006</v>
      </c>
      <c r="D74" t="s">
        <v>13</v>
      </c>
      <c r="E74" t="s">
        <v>22</v>
      </c>
      <c r="F74">
        <v>130</v>
      </c>
      <c r="G74" s="2">
        <v>128.69999999999999</v>
      </c>
      <c r="H74" s="2">
        <v>396.2</v>
      </c>
      <c r="I74" s="2">
        <v>7.1</v>
      </c>
      <c r="J74" t="s">
        <v>91</v>
      </c>
      <c r="K74" s="2">
        <v>267.5</v>
      </c>
      <c r="L74" s="3">
        <v>207.8</v>
      </c>
    </row>
    <row r="75" spans="1:12" x14ac:dyDescent="0.3">
      <c r="A75">
        <v>74</v>
      </c>
      <c r="B75" t="s">
        <v>118</v>
      </c>
      <c r="C75">
        <v>2025</v>
      </c>
      <c r="D75" t="s">
        <v>17</v>
      </c>
      <c r="E75" t="s">
        <v>66</v>
      </c>
      <c r="F75">
        <v>161</v>
      </c>
      <c r="G75" s="2">
        <v>20.7</v>
      </c>
      <c r="H75" s="2">
        <v>101.5</v>
      </c>
      <c r="I75" s="2">
        <v>6.1</v>
      </c>
      <c r="J75" t="s">
        <v>23</v>
      </c>
      <c r="K75" s="2">
        <v>80.8</v>
      </c>
      <c r="L75" s="3">
        <v>390.3</v>
      </c>
    </row>
    <row r="76" spans="1:12" x14ac:dyDescent="0.3">
      <c r="A76">
        <v>75</v>
      </c>
      <c r="B76" t="s">
        <v>119</v>
      </c>
      <c r="C76">
        <v>2023</v>
      </c>
      <c r="D76" t="s">
        <v>13</v>
      </c>
      <c r="E76" t="s">
        <v>22</v>
      </c>
      <c r="F76">
        <v>90</v>
      </c>
      <c r="G76" s="2">
        <v>99.1</v>
      </c>
      <c r="H76" s="2">
        <v>83.6</v>
      </c>
      <c r="I76" s="2">
        <v>6.7</v>
      </c>
      <c r="J76" t="s">
        <v>51</v>
      </c>
      <c r="K76" s="2">
        <v>-15.5</v>
      </c>
      <c r="L76" s="3">
        <v>-15.6</v>
      </c>
    </row>
    <row r="77" spans="1:12" x14ac:dyDescent="0.3">
      <c r="A77">
        <v>76</v>
      </c>
      <c r="B77" t="s">
        <v>120</v>
      </c>
      <c r="C77">
        <v>1993</v>
      </c>
      <c r="D77" t="s">
        <v>47</v>
      </c>
      <c r="E77" t="s">
        <v>22</v>
      </c>
      <c r="F77">
        <v>109</v>
      </c>
      <c r="G77" s="2">
        <v>67.400000000000006</v>
      </c>
      <c r="H77" s="2">
        <v>192.1</v>
      </c>
      <c r="I77" s="2">
        <v>6.4</v>
      </c>
      <c r="J77" t="s">
        <v>23</v>
      </c>
      <c r="K77" s="2">
        <v>124.7</v>
      </c>
      <c r="L77" s="3">
        <v>185</v>
      </c>
    </row>
    <row r="78" spans="1:12" x14ac:dyDescent="0.3">
      <c r="A78">
        <v>77</v>
      </c>
      <c r="B78" t="s">
        <v>121</v>
      </c>
      <c r="C78">
        <v>2025</v>
      </c>
      <c r="D78" t="s">
        <v>21</v>
      </c>
      <c r="E78" t="s">
        <v>39</v>
      </c>
      <c r="F78">
        <v>169</v>
      </c>
      <c r="G78" s="2">
        <v>61.5</v>
      </c>
      <c r="H78" s="2">
        <v>277.60000000000002</v>
      </c>
      <c r="I78" s="2">
        <v>7.4</v>
      </c>
      <c r="J78" t="s">
        <v>31</v>
      </c>
      <c r="K78" s="2">
        <v>216.1</v>
      </c>
      <c r="L78" s="3">
        <v>351.4</v>
      </c>
    </row>
    <row r="79" spans="1:12" x14ac:dyDescent="0.3">
      <c r="A79">
        <v>78</v>
      </c>
      <c r="B79" t="s">
        <v>122</v>
      </c>
      <c r="C79">
        <v>2015</v>
      </c>
      <c r="D79" t="s">
        <v>13</v>
      </c>
      <c r="E79" t="s">
        <v>18</v>
      </c>
      <c r="F79">
        <v>169</v>
      </c>
      <c r="G79" s="2">
        <v>14.8</v>
      </c>
      <c r="H79" s="2">
        <v>15.4</v>
      </c>
      <c r="I79" s="2">
        <v>4.5999999999999996</v>
      </c>
      <c r="J79" t="s">
        <v>68</v>
      </c>
      <c r="K79" s="2">
        <v>0.6</v>
      </c>
      <c r="L79" s="3">
        <v>4.0999999999999996</v>
      </c>
    </row>
    <row r="80" spans="1:12" x14ac:dyDescent="0.3">
      <c r="A80">
        <v>79</v>
      </c>
      <c r="B80" t="s">
        <v>123</v>
      </c>
      <c r="C80">
        <v>1990</v>
      </c>
      <c r="D80" t="s">
        <v>17</v>
      </c>
      <c r="E80" t="s">
        <v>22</v>
      </c>
      <c r="F80">
        <v>144</v>
      </c>
      <c r="G80" s="2">
        <v>65.5</v>
      </c>
      <c r="H80" s="2">
        <v>133.4</v>
      </c>
      <c r="I80" s="2">
        <v>5.5</v>
      </c>
      <c r="J80" t="s">
        <v>40</v>
      </c>
      <c r="K80" s="2">
        <v>67.900000000000006</v>
      </c>
      <c r="L80" s="3">
        <v>103.7</v>
      </c>
    </row>
    <row r="81" spans="1:12" x14ac:dyDescent="0.3">
      <c r="A81">
        <v>80</v>
      </c>
      <c r="B81" t="s">
        <v>124</v>
      </c>
      <c r="C81">
        <v>1999</v>
      </c>
      <c r="D81" t="s">
        <v>17</v>
      </c>
      <c r="E81" t="s">
        <v>22</v>
      </c>
      <c r="F81">
        <v>156</v>
      </c>
      <c r="G81" s="2">
        <v>138.30000000000001</v>
      </c>
      <c r="H81" s="2">
        <v>236.6</v>
      </c>
      <c r="I81" s="2">
        <v>6.6</v>
      </c>
      <c r="J81" t="s">
        <v>34</v>
      </c>
      <c r="K81" s="2">
        <v>98.3</v>
      </c>
      <c r="L81" s="3">
        <v>71.099999999999994</v>
      </c>
    </row>
    <row r="82" spans="1:12" x14ac:dyDescent="0.3">
      <c r="A82">
        <v>81</v>
      </c>
      <c r="B82" t="s">
        <v>125</v>
      </c>
      <c r="C82">
        <v>1998</v>
      </c>
      <c r="D82" t="s">
        <v>36</v>
      </c>
      <c r="E82" t="s">
        <v>18</v>
      </c>
      <c r="F82">
        <v>139</v>
      </c>
      <c r="G82" s="2">
        <v>10.3</v>
      </c>
      <c r="H82" s="2">
        <v>27.2</v>
      </c>
      <c r="I82" s="2">
        <v>7.3</v>
      </c>
      <c r="J82" t="s">
        <v>59</v>
      </c>
      <c r="K82" s="2">
        <v>16.899999999999999</v>
      </c>
      <c r="L82" s="3">
        <v>164.1</v>
      </c>
    </row>
    <row r="83" spans="1:12" x14ac:dyDescent="0.3">
      <c r="A83">
        <v>82</v>
      </c>
      <c r="B83" t="s">
        <v>126</v>
      </c>
      <c r="C83">
        <v>2001</v>
      </c>
      <c r="D83" t="s">
        <v>65</v>
      </c>
      <c r="E83" t="s">
        <v>127</v>
      </c>
      <c r="F83">
        <v>127</v>
      </c>
      <c r="G83" s="2">
        <v>96.9</v>
      </c>
      <c r="H83" s="2">
        <v>287.7</v>
      </c>
      <c r="I83" s="2">
        <v>7.7</v>
      </c>
      <c r="J83" t="s">
        <v>28</v>
      </c>
      <c r="K83" s="2">
        <v>190.8</v>
      </c>
      <c r="L83" s="3">
        <v>196.9</v>
      </c>
    </row>
    <row r="84" spans="1:12" x14ac:dyDescent="0.3">
      <c r="A84">
        <v>83</v>
      </c>
      <c r="B84" t="s">
        <v>128</v>
      </c>
      <c r="C84">
        <v>2024</v>
      </c>
      <c r="D84" t="s">
        <v>13</v>
      </c>
      <c r="E84" t="s">
        <v>14</v>
      </c>
      <c r="F84">
        <v>118</v>
      </c>
      <c r="G84" s="2">
        <v>102.6</v>
      </c>
      <c r="H84" s="2">
        <v>279.8</v>
      </c>
      <c r="I84" s="2">
        <v>6.6</v>
      </c>
      <c r="J84" t="s">
        <v>15</v>
      </c>
      <c r="K84" s="2">
        <v>177.2</v>
      </c>
      <c r="L84" s="3">
        <v>172.7</v>
      </c>
    </row>
    <row r="85" spans="1:12" x14ac:dyDescent="0.3">
      <c r="A85">
        <v>84</v>
      </c>
      <c r="B85" t="s">
        <v>129</v>
      </c>
      <c r="C85">
        <v>2003</v>
      </c>
      <c r="D85" t="s">
        <v>53</v>
      </c>
      <c r="E85" t="s">
        <v>18</v>
      </c>
      <c r="F85">
        <v>172</v>
      </c>
      <c r="G85" s="2">
        <v>15.3</v>
      </c>
      <c r="H85" s="2">
        <v>19.8</v>
      </c>
      <c r="I85" s="2">
        <v>6.9</v>
      </c>
      <c r="J85" t="s">
        <v>19</v>
      </c>
      <c r="K85" s="2">
        <v>4.5</v>
      </c>
      <c r="L85" s="3">
        <v>29.4</v>
      </c>
    </row>
    <row r="86" spans="1:12" x14ac:dyDescent="0.3">
      <c r="A86">
        <v>85</v>
      </c>
      <c r="B86" t="s">
        <v>130</v>
      </c>
      <c r="C86">
        <v>2003</v>
      </c>
      <c r="D86" t="s">
        <v>25</v>
      </c>
      <c r="E86" t="s">
        <v>22</v>
      </c>
      <c r="F86">
        <v>88</v>
      </c>
      <c r="G86" s="2">
        <v>153.30000000000001</v>
      </c>
      <c r="H86" s="2">
        <v>167</v>
      </c>
      <c r="I86" s="2">
        <v>7.6</v>
      </c>
      <c r="J86" t="s">
        <v>37</v>
      </c>
      <c r="K86" s="2">
        <v>13.7</v>
      </c>
      <c r="L86" s="3">
        <v>8.9</v>
      </c>
    </row>
    <row r="87" spans="1:12" x14ac:dyDescent="0.3">
      <c r="A87">
        <v>86</v>
      </c>
      <c r="B87" t="s">
        <v>131</v>
      </c>
      <c r="C87">
        <v>2019</v>
      </c>
      <c r="D87" t="s">
        <v>53</v>
      </c>
      <c r="E87" t="s">
        <v>18</v>
      </c>
      <c r="F87">
        <v>156</v>
      </c>
      <c r="G87" s="2">
        <v>24.8</v>
      </c>
      <c r="H87" s="2">
        <v>17.2</v>
      </c>
      <c r="I87" s="2">
        <v>7.7</v>
      </c>
      <c r="J87" t="s">
        <v>19</v>
      </c>
      <c r="K87" s="2">
        <v>-7.6</v>
      </c>
      <c r="L87" s="3">
        <v>-30.6</v>
      </c>
    </row>
    <row r="88" spans="1:12" x14ac:dyDescent="0.3">
      <c r="A88">
        <v>87</v>
      </c>
      <c r="B88" t="s">
        <v>132</v>
      </c>
      <c r="C88">
        <v>1993</v>
      </c>
      <c r="D88" t="s">
        <v>17</v>
      </c>
      <c r="E88" t="s">
        <v>66</v>
      </c>
      <c r="F88">
        <v>157</v>
      </c>
      <c r="G88" s="2">
        <v>46.6</v>
      </c>
      <c r="H88" s="2">
        <v>55.6</v>
      </c>
      <c r="I88" s="2">
        <v>7.8</v>
      </c>
      <c r="J88" t="s">
        <v>51</v>
      </c>
      <c r="K88" s="2">
        <v>9</v>
      </c>
      <c r="L88" s="3">
        <v>19.3</v>
      </c>
    </row>
    <row r="89" spans="1:12" x14ac:dyDescent="0.3">
      <c r="A89">
        <v>88</v>
      </c>
      <c r="B89" t="s">
        <v>133</v>
      </c>
      <c r="C89">
        <v>1991</v>
      </c>
      <c r="D89" t="s">
        <v>25</v>
      </c>
      <c r="E89" t="s">
        <v>14</v>
      </c>
      <c r="F89">
        <v>101</v>
      </c>
      <c r="G89" s="2">
        <v>36.4</v>
      </c>
      <c r="H89" s="2">
        <v>46.7</v>
      </c>
      <c r="I89" s="2">
        <v>6</v>
      </c>
      <c r="J89" t="s">
        <v>15</v>
      </c>
      <c r="K89" s="2">
        <v>10.3</v>
      </c>
      <c r="L89" s="3">
        <v>28.3</v>
      </c>
    </row>
    <row r="90" spans="1:12" x14ac:dyDescent="0.3">
      <c r="A90">
        <v>89</v>
      </c>
      <c r="B90" t="s">
        <v>134</v>
      </c>
      <c r="C90">
        <v>1999</v>
      </c>
      <c r="D90" t="s">
        <v>65</v>
      </c>
      <c r="E90" t="s">
        <v>22</v>
      </c>
      <c r="F90">
        <v>141</v>
      </c>
      <c r="G90" s="2">
        <v>62.3</v>
      </c>
      <c r="H90" s="2">
        <v>58.1</v>
      </c>
      <c r="I90" s="2">
        <v>7.3</v>
      </c>
      <c r="J90" t="s">
        <v>37</v>
      </c>
      <c r="K90" s="2">
        <v>-4.2</v>
      </c>
      <c r="L90" s="3">
        <v>-6.7</v>
      </c>
    </row>
    <row r="91" spans="1:12" x14ac:dyDescent="0.3">
      <c r="A91">
        <v>90</v>
      </c>
      <c r="B91" t="s">
        <v>135</v>
      </c>
      <c r="C91">
        <v>2014</v>
      </c>
      <c r="D91" t="s">
        <v>13</v>
      </c>
      <c r="E91" t="s">
        <v>127</v>
      </c>
      <c r="F91">
        <v>191</v>
      </c>
      <c r="G91" s="2">
        <v>41.4</v>
      </c>
      <c r="H91" s="2">
        <v>29.7</v>
      </c>
      <c r="I91" s="2">
        <v>8.3000000000000007</v>
      </c>
      <c r="J91" t="s">
        <v>31</v>
      </c>
      <c r="K91" s="2">
        <v>-11.7</v>
      </c>
      <c r="L91" s="3">
        <v>-28.3</v>
      </c>
    </row>
    <row r="92" spans="1:12" x14ac:dyDescent="0.3">
      <c r="A92">
        <v>91</v>
      </c>
      <c r="B92" t="s">
        <v>136</v>
      </c>
      <c r="C92">
        <v>2018</v>
      </c>
      <c r="D92" t="s">
        <v>25</v>
      </c>
      <c r="E92" t="s">
        <v>66</v>
      </c>
      <c r="F92">
        <v>126</v>
      </c>
      <c r="G92" s="2">
        <v>147.69999999999999</v>
      </c>
      <c r="H92" s="2">
        <v>467.3</v>
      </c>
      <c r="I92" s="2">
        <v>6.6</v>
      </c>
      <c r="J92" t="s">
        <v>40</v>
      </c>
      <c r="K92" s="2">
        <v>319.60000000000002</v>
      </c>
      <c r="L92" s="3">
        <v>216.4</v>
      </c>
    </row>
    <row r="93" spans="1:12" x14ac:dyDescent="0.3">
      <c r="A93">
        <v>92</v>
      </c>
      <c r="B93" t="s">
        <v>137</v>
      </c>
      <c r="C93">
        <v>1998</v>
      </c>
      <c r="D93" t="s">
        <v>13</v>
      </c>
      <c r="E93" t="s">
        <v>39</v>
      </c>
      <c r="F93">
        <v>121</v>
      </c>
      <c r="G93" s="2">
        <v>120.5</v>
      </c>
      <c r="H93" s="2">
        <v>215.7</v>
      </c>
      <c r="I93" s="2">
        <v>7.2</v>
      </c>
      <c r="J93" t="s">
        <v>31</v>
      </c>
      <c r="K93" s="2">
        <v>95.2</v>
      </c>
      <c r="L93" s="3">
        <v>79</v>
      </c>
    </row>
    <row r="94" spans="1:12" x14ac:dyDescent="0.3">
      <c r="A94">
        <v>93</v>
      </c>
      <c r="B94" t="s">
        <v>138</v>
      </c>
      <c r="C94">
        <v>2007</v>
      </c>
      <c r="D94" t="s">
        <v>27</v>
      </c>
      <c r="E94" t="s">
        <v>39</v>
      </c>
      <c r="F94">
        <v>136</v>
      </c>
      <c r="G94" s="2">
        <v>20.6</v>
      </c>
      <c r="H94" s="2">
        <v>27.4</v>
      </c>
      <c r="I94" s="2">
        <v>6.5</v>
      </c>
      <c r="J94" t="s">
        <v>23</v>
      </c>
      <c r="K94" s="2">
        <v>6.8</v>
      </c>
      <c r="L94" s="3">
        <v>33</v>
      </c>
    </row>
    <row r="95" spans="1:12" x14ac:dyDescent="0.3">
      <c r="A95">
        <v>94</v>
      </c>
      <c r="B95" t="s">
        <v>139</v>
      </c>
      <c r="C95">
        <v>2015</v>
      </c>
      <c r="D95" t="s">
        <v>25</v>
      </c>
      <c r="E95" t="s">
        <v>18</v>
      </c>
      <c r="F95">
        <v>147</v>
      </c>
      <c r="G95" s="2">
        <v>66.2</v>
      </c>
      <c r="H95" s="2">
        <v>218.5</v>
      </c>
      <c r="I95" s="2">
        <v>5.6</v>
      </c>
      <c r="J95" t="s">
        <v>68</v>
      </c>
      <c r="K95" s="2">
        <v>152.30000000000001</v>
      </c>
      <c r="L95" s="3">
        <v>230.1</v>
      </c>
    </row>
    <row r="96" spans="1:12" x14ac:dyDescent="0.3">
      <c r="A96">
        <v>95</v>
      </c>
      <c r="B96" t="s">
        <v>140</v>
      </c>
      <c r="C96">
        <v>1996</v>
      </c>
      <c r="D96" t="s">
        <v>17</v>
      </c>
      <c r="E96" t="s">
        <v>22</v>
      </c>
      <c r="F96">
        <v>158</v>
      </c>
      <c r="G96" s="2">
        <v>50.8</v>
      </c>
      <c r="H96" s="2">
        <v>110.7</v>
      </c>
      <c r="I96" s="2">
        <v>9.1</v>
      </c>
      <c r="J96" t="s">
        <v>37</v>
      </c>
      <c r="K96" s="2">
        <v>59.9</v>
      </c>
      <c r="L96" s="3">
        <v>117.9</v>
      </c>
    </row>
    <row r="97" spans="1:12" x14ac:dyDescent="0.3">
      <c r="A97">
        <v>96</v>
      </c>
      <c r="B97" t="s">
        <v>141</v>
      </c>
      <c r="C97">
        <v>2018</v>
      </c>
      <c r="D97" t="s">
        <v>27</v>
      </c>
      <c r="E97" t="s">
        <v>18</v>
      </c>
      <c r="F97">
        <v>110</v>
      </c>
      <c r="G97" s="2">
        <v>34</v>
      </c>
      <c r="H97" s="2">
        <v>71.2</v>
      </c>
      <c r="I97" s="2">
        <v>4.7</v>
      </c>
      <c r="J97" t="s">
        <v>59</v>
      </c>
      <c r="K97" s="2">
        <v>37.200000000000003</v>
      </c>
      <c r="L97" s="3">
        <v>109.4</v>
      </c>
    </row>
    <row r="98" spans="1:12" x14ac:dyDescent="0.3">
      <c r="A98">
        <v>97</v>
      </c>
      <c r="B98" t="s">
        <v>142</v>
      </c>
      <c r="C98">
        <v>2019</v>
      </c>
      <c r="D98" t="s">
        <v>17</v>
      </c>
      <c r="E98" t="s">
        <v>22</v>
      </c>
      <c r="F98">
        <v>110</v>
      </c>
      <c r="G98" s="2">
        <v>55.1</v>
      </c>
      <c r="H98" s="2">
        <v>230.2</v>
      </c>
      <c r="I98" s="2">
        <v>7.6</v>
      </c>
      <c r="J98" t="s">
        <v>57</v>
      </c>
      <c r="K98" s="2">
        <v>175.1</v>
      </c>
      <c r="L98" s="3">
        <v>317.8</v>
      </c>
    </row>
    <row r="99" spans="1:12" x14ac:dyDescent="0.3">
      <c r="A99">
        <v>98</v>
      </c>
      <c r="B99" t="s">
        <v>143</v>
      </c>
      <c r="C99">
        <v>2023</v>
      </c>
      <c r="D99" t="s">
        <v>65</v>
      </c>
      <c r="E99" t="s">
        <v>22</v>
      </c>
      <c r="F99">
        <v>117</v>
      </c>
      <c r="G99" s="2">
        <v>53.6</v>
      </c>
      <c r="H99" s="2">
        <v>117.3</v>
      </c>
      <c r="I99" s="2">
        <v>8</v>
      </c>
      <c r="J99" t="s">
        <v>34</v>
      </c>
      <c r="K99" s="2">
        <v>63.7</v>
      </c>
      <c r="L99" s="3">
        <v>118.8</v>
      </c>
    </row>
    <row r="100" spans="1:12" x14ac:dyDescent="0.3">
      <c r="A100">
        <v>99</v>
      </c>
      <c r="B100" t="s">
        <v>144</v>
      </c>
      <c r="C100">
        <v>1992</v>
      </c>
      <c r="D100" t="s">
        <v>13</v>
      </c>
      <c r="E100" t="s">
        <v>18</v>
      </c>
      <c r="F100">
        <v>111</v>
      </c>
      <c r="G100" s="2">
        <v>17.3</v>
      </c>
      <c r="H100" s="2">
        <v>38.6</v>
      </c>
      <c r="I100" s="2">
        <v>6.8</v>
      </c>
      <c r="J100" t="s">
        <v>19</v>
      </c>
      <c r="K100" s="2">
        <v>21.3</v>
      </c>
      <c r="L100" s="3">
        <v>123.1</v>
      </c>
    </row>
    <row r="101" spans="1:12" x14ac:dyDescent="0.3">
      <c r="A101">
        <v>100</v>
      </c>
      <c r="B101" t="s">
        <v>145</v>
      </c>
      <c r="C101">
        <v>2021</v>
      </c>
      <c r="D101" t="s">
        <v>21</v>
      </c>
      <c r="E101" t="s">
        <v>127</v>
      </c>
      <c r="F101">
        <v>119</v>
      </c>
      <c r="G101" s="2">
        <v>28.9</v>
      </c>
      <c r="H101" s="2">
        <v>54.9</v>
      </c>
      <c r="I101" s="2">
        <v>7.7</v>
      </c>
      <c r="J101" t="s">
        <v>31</v>
      </c>
      <c r="K101" s="2">
        <v>26</v>
      </c>
      <c r="L101" s="3">
        <v>90</v>
      </c>
    </row>
    <row r="102" spans="1:12" x14ac:dyDescent="0.3">
      <c r="A102">
        <v>101</v>
      </c>
      <c r="B102" t="s">
        <v>146</v>
      </c>
      <c r="C102">
        <v>2007</v>
      </c>
      <c r="D102" t="s">
        <v>25</v>
      </c>
      <c r="E102" t="s">
        <v>22</v>
      </c>
      <c r="F102">
        <v>133</v>
      </c>
      <c r="G102" s="2">
        <v>124.8</v>
      </c>
      <c r="H102" s="2">
        <v>459.4</v>
      </c>
      <c r="I102" s="2">
        <v>7.3</v>
      </c>
      <c r="J102" t="s">
        <v>37</v>
      </c>
      <c r="K102" s="2">
        <v>334.6</v>
      </c>
      <c r="L102" s="3">
        <v>268.10000000000002</v>
      </c>
    </row>
    <row r="103" spans="1:12" x14ac:dyDescent="0.3">
      <c r="A103">
        <v>102</v>
      </c>
      <c r="B103" t="s">
        <v>147</v>
      </c>
      <c r="C103">
        <v>2000</v>
      </c>
      <c r="D103" t="s">
        <v>13</v>
      </c>
      <c r="E103" t="s">
        <v>22</v>
      </c>
      <c r="F103">
        <v>143</v>
      </c>
      <c r="G103" s="2">
        <v>158.1</v>
      </c>
      <c r="H103" s="2">
        <v>293.10000000000002</v>
      </c>
      <c r="I103" s="2">
        <v>6.5</v>
      </c>
      <c r="J103" t="s">
        <v>37</v>
      </c>
      <c r="K103" s="2">
        <v>135</v>
      </c>
      <c r="L103" s="3">
        <v>85.4</v>
      </c>
    </row>
    <row r="104" spans="1:12" x14ac:dyDescent="0.3">
      <c r="A104">
        <v>103</v>
      </c>
      <c r="B104" t="s">
        <v>148</v>
      </c>
      <c r="C104">
        <v>2024</v>
      </c>
      <c r="D104" t="s">
        <v>53</v>
      </c>
      <c r="E104" t="s">
        <v>18</v>
      </c>
      <c r="F104">
        <v>132</v>
      </c>
      <c r="G104" s="2">
        <v>12.4</v>
      </c>
      <c r="H104" s="2">
        <v>18.8</v>
      </c>
      <c r="I104" s="2">
        <v>7</v>
      </c>
      <c r="J104" t="s">
        <v>75</v>
      </c>
      <c r="K104" s="2">
        <v>6.4</v>
      </c>
      <c r="L104" s="3">
        <v>51.6</v>
      </c>
    </row>
    <row r="105" spans="1:12" x14ac:dyDescent="0.3">
      <c r="A105">
        <v>104</v>
      </c>
      <c r="B105" t="s">
        <v>149</v>
      </c>
      <c r="C105">
        <v>2006</v>
      </c>
      <c r="D105" t="s">
        <v>13</v>
      </c>
      <c r="E105" t="s">
        <v>22</v>
      </c>
      <c r="F105">
        <v>91</v>
      </c>
      <c r="G105" s="2">
        <v>40.700000000000003</v>
      </c>
      <c r="H105" s="2">
        <v>149.80000000000001</v>
      </c>
      <c r="I105" s="2">
        <v>6.7</v>
      </c>
      <c r="J105" t="s">
        <v>91</v>
      </c>
      <c r="K105" s="2">
        <v>109.1</v>
      </c>
      <c r="L105" s="3">
        <v>268.10000000000002</v>
      </c>
    </row>
    <row r="106" spans="1:12" x14ac:dyDescent="0.3">
      <c r="A106">
        <v>105</v>
      </c>
      <c r="B106" t="s">
        <v>150</v>
      </c>
      <c r="C106">
        <v>1993</v>
      </c>
      <c r="D106" t="s">
        <v>25</v>
      </c>
      <c r="E106" t="s">
        <v>33</v>
      </c>
      <c r="F106">
        <v>84</v>
      </c>
      <c r="G106" s="2">
        <v>98.3</v>
      </c>
      <c r="H106" s="2">
        <v>294.3</v>
      </c>
      <c r="I106" s="2">
        <v>8</v>
      </c>
      <c r="J106" t="s">
        <v>51</v>
      </c>
      <c r="K106" s="2">
        <v>196</v>
      </c>
      <c r="L106" s="3">
        <v>199.4</v>
      </c>
    </row>
    <row r="107" spans="1:12" x14ac:dyDescent="0.3">
      <c r="A107">
        <v>106</v>
      </c>
      <c r="B107" t="s">
        <v>151</v>
      </c>
      <c r="C107">
        <v>2012</v>
      </c>
      <c r="D107" t="s">
        <v>25</v>
      </c>
      <c r="E107" t="s">
        <v>22</v>
      </c>
      <c r="F107">
        <v>136</v>
      </c>
      <c r="G107" s="2">
        <v>128.80000000000001</v>
      </c>
      <c r="H107" s="2">
        <v>206.2</v>
      </c>
      <c r="I107" s="2">
        <v>6.3</v>
      </c>
      <c r="J107" t="s">
        <v>91</v>
      </c>
      <c r="K107" s="2">
        <v>77.400000000000006</v>
      </c>
      <c r="L107" s="3">
        <v>60.1</v>
      </c>
    </row>
    <row r="108" spans="1:12" x14ac:dyDescent="0.3">
      <c r="A108">
        <v>107</v>
      </c>
      <c r="B108" t="s">
        <v>152</v>
      </c>
      <c r="C108">
        <v>1996</v>
      </c>
      <c r="D108" t="s">
        <v>17</v>
      </c>
      <c r="E108" t="s">
        <v>18</v>
      </c>
      <c r="F108">
        <v>78</v>
      </c>
      <c r="G108" s="2">
        <v>5.7</v>
      </c>
      <c r="H108" s="2">
        <v>22.2</v>
      </c>
      <c r="I108" s="2">
        <v>6.9</v>
      </c>
      <c r="J108" t="s">
        <v>75</v>
      </c>
      <c r="K108" s="2">
        <v>16.5</v>
      </c>
      <c r="L108" s="3">
        <v>289.5</v>
      </c>
    </row>
    <row r="109" spans="1:12" x14ac:dyDescent="0.3">
      <c r="A109">
        <v>108</v>
      </c>
      <c r="B109" t="s">
        <v>153</v>
      </c>
      <c r="C109">
        <v>2025</v>
      </c>
      <c r="D109" t="s">
        <v>45</v>
      </c>
      <c r="E109" t="s">
        <v>22</v>
      </c>
      <c r="F109">
        <v>155</v>
      </c>
      <c r="G109" s="2">
        <v>59.1</v>
      </c>
      <c r="H109" s="2">
        <v>255</v>
      </c>
      <c r="I109" s="2">
        <v>7.6</v>
      </c>
      <c r="J109" t="s">
        <v>23</v>
      </c>
      <c r="K109" s="2">
        <v>195.9</v>
      </c>
      <c r="L109" s="3">
        <v>331.5</v>
      </c>
    </row>
    <row r="110" spans="1:12" x14ac:dyDescent="0.3">
      <c r="A110">
        <v>109</v>
      </c>
      <c r="B110" t="s">
        <v>154</v>
      </c>
      <c r="C110">
        <v>2011</v>
      </c>
      <c r="D110" t="s">
        <v>36</v>
      </c>
      <c r="E110" t="s">
        <v>22</v>
      </c>
      <c r="F110">
        <v>94</v>
      </c>
      <c r="G110" s="2">
        <v>72.5</v>
      </c>
      <c r="H110" s="2">
        <v>257.8</v>
      </c>
      <c r="I110" s="2">
        <v>7.4</v>
      </c>
      <c r="J110" t="s">
        <v>31</v>
      </c>
      <c r="K110" s="2">
        <v>185.3</v>
      </c>
      <c r="L110" s="3">
        <v>255.6</v>
      </c>
    </row>
    <row r="111" spans="1:12" x14ac:dyDescent="0.3">
      <c r="A111">
        <v>110</v>
      </c>
      <c r="B111" t="s">
        <v>155</v>
      </c>
      <c r="C111">
        <v>1991</v>
      </c>
      <c r="D111" t="s">
        <v>25</v>
      </c>
      <c r="E111" t="s">
        <v>22</v>
      </c>
      <c r="F111">
        <v>98</v>
      </c>
      <c r="G111" s="2">
        <v>224.9</v>
      </c>
      <c r="H111" s="2">
        <v>718.8</v>
      </c>
      <c r="I111" s="2">
        <v>6.5</v>
      </c>
      <c r="J111" t="s">
        <v>57</v>
      </c>
      <c r="K111" s="2">
        <v>493.9</v>
      </c>
      <c r="L111" s="3">
        <v>219.6</v>
      </c>
    </row>
    <row r="112" spans="1:12" x14ac:dyDescent="0.3">
      <c r="A112">
        <v>111</v>
      </c>
      <c r="B112" t="s">
        <v>156</v>
      </c>
      <c r="C112">
        <v>2014</v>
      </c>
      <c r="D112" t="s">
        <v>13</v>
      </c>
      <c r="E112" t="s">
        <v>127</v>
      </c>
      <c r="F112">
        <v>140</v>
      </c>
      <c r="G112" s="2">
        <v>20</v>
      </c>
      <c r="H112" s="2">
        <v>36.9</v>
      </c>
      <c r="I112" s="2">
        <v>5.9</v>
      </c>
      <c r="J112" t="s">
        <v>23</v>
      </c>
      <c r="K112" s="2">
        <v>16.899999999999999</v>
      </c>
      <c r="L112" s="3">
        <v>84.5</v>
      </c>
    </row>
    <row r="113" spans="1:12" x14ac:dyDescent="0.3">
      <c r="A113">
        <v>112</v>
      </c>
      <c r="B113" t="s">
        <v>157</v>
      </c>
      <c r="C113">
        <v>2005</v>
      </c>
      <c r="D113" t="s">
        <v>47</v>
      </c>
      <c r="E113" t="s">
        <v>33</v>
      </c>
      <c r="F113">
        <v>119</v>
      </c>
      <c r="G113" s="2">
        <v>67</v>
      </c>
      <c r="H113" s="2">
        <v>384.2</v>
      </c>
      <c r="I113" s="2">
        <v>7.1</v>
      </c>
      <c r="J113" t="s">
        <v>23</v>
      </c>
      <c r="K113" s="2">
        <v>317.2</v>
      </c>
      <c r="L113" s="3">
        <v>473.4</v>
      </c>
    </row>
    <row r="114" spans="1:12" x14ac:dyDescent="0.3">
      <c r="A114">
        <v>113</v>
      </c>
      <c r="B114" t="s">
        <v>158</v>
      </c>
      <c r="C114">
        <v>2001</v>
      </c>
      <c r="D114" t="s">
        <v>13</v>
      </c>
      <c r="E114" t="s">
        <v>14</v>
      </c>
      <c r="F114">
        <v>93</v>
      </c>
      <c r="G114" s="2">
        <v>400</v>
      </c>
      <c r="H114" s="2">
        <v>664.3</v>
      </c>
      <c r="I114" s="2">
        <v>7.4</v>
      </c>
      <c r="J114" t="s">
        <v>15</v>
      </c>
      <c r="K114" s="2">
        <v>264.3</v>
      </c>
      <c r="L114" s="3">
        <v>66.099999999999994</v>
      </c>
    </row>
    <row r="115" spans="1:12" x14ac:dyDescent="0.3">
      <c r="A115">
        <v>114</v>
      </c>
      <c r="B115" t="s">
        <v>159</v>
      </c>
      <c r="C115">
        <v>1997</v>
      </c>
      <c r="D115" t="s">
        <v>21</v>
      </c>
      <c r="E115" t="s">
        <v>18</v>
      </c>
      <c r="F115">
        <v>110</v>
      </c>
      <c r="G115" s="2">
        <v>8.5</v>
      </c>
      <c r="H115" s="2">
        <v>29</v>
      </c>
      <c r="I115" s="2">
        <v>7.9</v>
      </c>
      <c r="J115" t="s">
        <v>68</v>
      </c>
      <c r="K115" s="2">
        <v>20.5</v>
      </c>
      <c r="L115" s="3">
        <v>241.2</v>
      </c>
    </row>
    <row r="116" spans="1:12" x14ac:dyDescent="0.3">
      <c r="A116">
        <v>115</v>
      </c>
      <c r="B116" t="s">
        <v>160</v>
      </c>
      <c r="C116">
        <v>2006</v>
      </c>
      <c r="D116" t="s">
        <v>45</v>
      </c>
      <c r="E116" t="s">
        <v>22</v>
      </c>
      <c r="F116">
        <v>126</v>
      </c>
      <c r="G116" s="2">
        <v>139</v>
      </c>
      <c r="H116" s="2">
        <v>310.8</v>
      </c>
      <c r="I116" s="2">
        <v>8.4</v>
      </c>
      <c r="J116" t="s">
        <v>34</v>
      </c>
      <c r="K116" s="2">
        <v>171.8</v>
      </c>
      <c r="L116" s="3">
        <v>123.6</v>
      </c>
    </row>
    <row r="117" spans="1:12" x14ac:dyDescent="0.3">
      <c r="A117">
        <v>116</v>
      </c>
      <c r="B117" t="s">
        <v>161</v>
      </c>
      <c r="C117">
        <v>1993</v>
      </c>
      <c r="D117" t="s">
        <v>36</v>
      </c>
      <c r="E117" t="s">
        <v>22</v>
      </c>
      <c r="F117">
        <v>77</v>
      </c>
      <c r="G117" s="2">
        <v>8.9</v>
      </c>
      <c r="H117" s="2">
        <v>32.799999999999997</v>
      </c>
      <c r="I117" s="2">
        <v>7.8</v>
      </c>
      <c r="J117" t="s">
        <v>34</v>
      </c>
      <c r="K117" s="2">
        <v>23.9</v>
      </c>
      <c r="L117" s="3">
        <v>268.5</v>
      </c>
    </row>
    <row r="118" spans="1:12" x14ac:dyDescent="0.3">
      <c r="A118">
        <v>117</v>
      </c>
      <c r="B118" t="s">
        <v>162</v>
      </c>
      <c r="C118">
        <v>1991</v>
      </c>
      <c r="D118" t="s">
        <v>25</v>
      </c>
      <c r="E118" t="s">
        <v>18</v>
      </c>
      <c r="F118">
        <v>142</v>
      </c>
      <c r="G118" s="2">
        <v>12.4</v>
      </c>
      <c r="H118" s="2">
        <v>38.299999999999997</v>
      </c>
      <c r="I118" s="2">
        <v>6.6</v>
      </c>
      <c r="J118" t="s">
        <v>48</v>
      </c>
      <c r="K118" s="2">
        <v>25.9</v>
      </c>
      <c r="L118" s="3">
        <v>208.9</v>
      </c>
    </row>
    <row r="119" spans="1:12" x14ac:dyDescent="0.3">
      <c r="A119">
        <v>118</v>
      </c>
      <c r="B119" t="s">
        <v>163</v>
      </c>
      <c r="C119">
        <v>2005</v>
      </c>
      <c r="D119" t="s">
        <v>47</v>
      </c>
      <c r="E119" t="s">
        <v>66</v>
      </c>
      <c r="F119">
        <v>160</v>
      </c>
      <c r="G119" s="2">
        <v>212.5</v>
      </c>
      <c r="H119" s="2">
        <v>392.5</v>
      </c>
      <c r="I119" s="2">
        <v>6.6</v>
      </c>
      <c r="J119" t="s">
        <v>31</v>
      </c>
      <c r="K119" s="2">
        <v>180</v>
      </c>
      <c r="L119" s="3">
        <v>84.7</v>
      </c>
    </row>
    <row r="120" spans="1:12" x14ac:dyDescent="0.3">
      <c r="A120">
        <v>119</v>
      </c>
      <c r="B120" t="s">
        <v>164</v>
      </c>
      <c r="C120">
        <v>1992</v>
      </c>
      <c r="D120" t="s">
        <v>27</v>
      </c>
      <c r="E120" t="s">
        <v>22</v>
      </c>
      <c r="F120">
        <v>99</v>
      </c>
      <c r="G120" s="2">
        <v>36.5</v>
      </c>
      <c r="H120" s="2">
        <v>24.6</v>
      </c>
      <c r="I120" s="2">
        <v>5.4</v>
      </c>
      <c r="J120" t="s">
        <v>34</v>
      </c>
      <c r="K120" s="2">
        <v>-11.9</v>
      </c>
      <c r="L120" s="3">
        <v>-32.6</v>
      </c>
    </row>
    <row r="121" spans="1:12" x14ac:dyDescent="0.3">
      <c r="A121">
        <v>120</v>
      </c>
      <c r="B121" t="s">
        <v>165</v>
      </c>
      <c r="C121">
        <v>2013</v>
      </c>
      <c r="D121" t="s">
        <v>25</v>
      </c>
      <c r="E121" t="s">
        <v>33</v>
      </c>
      <c r="F121">
        <v>94</v>
      </c>
      <c r="G121" s="2">
        <v>121.3</v>
      </c>
      <c r="H121" s="2">
        <v>605.29999999999995</v>
      </c>
      <c r="I121" s="2">
        <v>7.3</v>
      </c>
      <c r="J121" t="s">
        <v>51</v>
      </c>
      <c r="K121" s="2">
        <v>484</v>
      </c>
      <c r="L121" s="3">
        <v>399</v>
      </c>
    </row>
    <row r="122" spans="1:12" x14ac:dyDescent="0.3">
      <c r="A122">
        <v>121</v>
      </c>
      <c r="B122" t="s">
        <v>166</v>
      </c>
      <c r="C122">
        <v>1996</v>
      </c>
      <c r="D122" t="s">
        <v>21</v>
      </c>
      <c r="E122" t="s">
        <v>22</v>
      </c>
      <c r="F122">
        <v>113</v>
      </c>
      <c r="G122" s="2">
        <v>101.7</v>
      </c>
      <c r="H122" s="2">
        <v>463.9</v>
      </c>
      <c r="I122" s="2">
        <v>6.7</v>
      </c>
      <c r="J122" t="s">
        <v>31</v>
      </c>
      <c r="K122" s="2">
        <v>362.2</v>
      </c>
      <c r="L122" s="3">
        <v>356.1</v>
      </c>
    </row>
    <row r="123" spans="1:12" x14ac:dyDescent="0.3">
      <c r="A123">
        <v>122</v>
      </c>
      <c r="B123" t="s">
        <v>167</v>
      </c>
      <c r="C123">
        <v>1992</v>
      </c>
      <c r="D123" t="s">
        <v>47</v>
      </c>
      <c r="E123" t="s">
        <v>66</v>
      </c>
      <c r="F123">
        <v>122</v>
      </c>
      <c r="G123" s="2">
        <v>49.1</v>
      </c>
      <c r="H123" s="2">
        <v>239.9</v>
      </c>
      <c r="I123" s="2">
        <v>6</v>
      </c>
      <c r="J123" t="s">
        <v>91</v>
      </c>
      <c r="K123" s="2">
        <v>190.8</v>
      </c>
      <c r="L123" s="3">
        <v>388.6</v>
      </c>
    </row>
    <row r="124" spans="1:12" x14ac:dyDescent="0.3">
      <c r="A124">
        <v>123</v>
      </c>
      <c r="B124" t="s">
        <v>168</v>
      </c>
      <c r="C124">
        <v>2006</v>
      </c>
      <c r="D124" t="s">
        <v>25</v>
      </c>
      <c r="E124" t="s">
        <v>18</v>
      </c>
      <c r="F124">
        <v>183</v>
      </c>
      <c r="G124" s="2">
        <v>24.2</v>
      </c>
      <c r="H124" s="2">
        <v>56.5</v>
      </c>
      <c r="I124" s="2">
        <v>6.5</v>
      </c>
      <c r="J124" t="s">
        <v>48</v>
      </c>
      <c r="K124" s="2">
        <v>32.299999999999997</v>
      </c>
      <c r="L124" s="3">
        <v>133.5</v>
      </c>
    </row>
    <row r="125" spans="1:12" x14ac:dyDescent="0.3">
      <c r="A125">
        <v>124</v>
      </c>
      <c r="B125" t="s">
        <v>169</v>
      </c>
      <c r="C125">
        <v>1998</v>
      </c>
      <c r="D125" t="s">
        <v>25</v>
      </c>
      <c r="E125" t="s">
        <v>18</v>
      </c>
      <c r="F125">
        <v>115</v>
      </c>
      <c r="G125" s="2">
        <v>6.3</v>
      </c>
      <c r="H125" s="2">
        <v>11</v>
      </c>
      <c r="I125" s="2">
        <v>7.2</v>
      </c>
      <c r="J125" t="s">
        <v>19</v>
      </c>
      <c r="K125" s="2">
        <v>4.7</v>
      </c>
      <c r="L125" s="3">
        <v>74.599999999999994</v>
      </c>
    </row>
    <row r="126" spans="1:12" x14ac:dyDescent="0.3">
      <c r="A126">
        <v>125</v>
      </c>
      <c r="B126" t="s">
        <v>170</v>
      </c>
      <c r="C126">
        <v>2004</v>
      </c>
      <c r="D126" t="s">
        <v>25</v>
      </c>
      <c r="E126" t="s">
        <v>18</v>
      </c>
      <c r="F126">
        <v>112</v>
      </c>
      <c r="G126" s="2">
        <v>14.2</v>
      </c>
      <c r="H126" s="2">
        <v>46.4</v>
      </c>
      <c r="I126" s="2">
        <v>4</v>
      </c>
      <c r="J126" t="s">
        <v>75</v>
      </c>
      <c r="K126" s="2">
        <v>32.200000000000003</v>
      </c>
      <c r="L126" s="3">
        <v>226.8</v>
      </c>
    </row>
    <row r="127" spans="1:12" x14ac:dyDescent="0.3">
      <c r="A127">
        <v>126</v>
      </c>
      <c r="B127" t="s">
        <v>171</v>
      </c>
      <c r="C127">
        <v>2018</v>
      </c>
      <c r="D127" t="s">
        <v>53</v>
      </c>
      <c r="E127" t="s">
        <v>39</v>
      </c>
      <c r="F127">
        <v>103</v>
      </c>
      <c r="G127" s="2">
        <v>77.8</v>
      </c>
      <c r="H127" s="2">
        <v>205.6</v>
      </c>
      <c r="I127" s="2">
        <v>7.4</v>
      </c>
      <c r="J127" t="s">
        <v>57</v>
      </c>
      <c r="K127" s="2">
        <v>127.8</v>
      </c>
      <c r="L127" s="3">
        <v>164.3</v>
      </c>
    </row>
    <row r="128" spans="1:12" x14ac:dyDescent="0.3">
      <c r="A128">
        <v>127</v>
      </c>
      <c r="B128" t="s">
        <v>172</v>
      </c>
      <c r="C128">
        <v>2022</v>
      </c>
      <c r="D128" t="s">
        <v>25</v>
      </c>
      <c r="E128" t="s">
        <v>22</v>
      </c>
      <c r="F128">
        <v>101</v>
      </c>
      <c r="G128" s="2">
        <v>101.5</v>
      </c>
      <c r="H128" s="2">
        <v>456.4</v>
      </c>
      <c r="I128" s="2">
        <v>7.1</v>
      </c>
      <c r="J128" t="s">
        <v>91</v>
      </c>
      <c r="K128" s="2">
        <v>354.9</v>
      </c>
      <c r="L128" s="3">
        <v>349.7</v>
      </c>
    </row>
    <row r="129" spans="1:12" x14ac:dyDescent="0.3">
      <c r="A129">
        <v>128</v>
      </c>
      <c r="B129" t="s">
        <v>173</v>
      </c>
      <c r="C129">
        <v>2020</v>
      </c>
      <c r="D129" t="s">
        <v>47</v>
      </c>
      <c r="E129" t="s">
        <v>22</v>
      </c>
      <c r="F129">
        <v>138</v>
      </c>
      <c r="G129" s="2">
        <v>77.2</v>
      </c>
      <c r="H129" s="2">
        <v>35.200000000000003</v>
      </c>
      <c r="I129" s="2">
        <v>7</v>
      </c>
      <c r="J129" t="s">
        <v>31</v>
      </c>
      <c r="K129" s="2">
        <v>-42</v>
      </c>
      <c r="L129" s="3">
        <v>-54.4</v>
      </c>
    </row>
    <row r="130" spans="1:12" x14ac:dyDescent="0.3">
      <c r="A130">
        <v>129</v>
      </c>
      <c r="B130" t="s">
        <v>174</v>
      </c>
      <c r="C130">
        <v>1991</v>
      </c>
      <c r="D130" t="s">
        <v>47</v>
      </c>
      <c r="E130" t="s">
        <v>22</v>
      </c>
      <c r="F130">
        <v>141</v>
      </c>
      <c r="G130" s="2">
        <v>15.7</v>
      </c>
      <c r="H130" s="2">
        <v>17.7</v>
      </c>
      <c r="I130" s="2">
        <v>6.9</v>
      </c>
      <c r="J130" t="s">
        <v>31</v>
      </c>
      <c r="K130" s="2">
        <v>2</v>
      </c>
      <c r="L130" s="3">
        <v>12.7</v>
      </c>
    </row>
    <row r="131" spans="1:12" x14ac:dyDescent="0.3">
      <c r="A131">
        <v>130</v>
      </c>
      <c r="B131" t="s">
        <v>175</v>
      </c>
      <c r="C131">
        <v>2008</v>
      </c>
      <c r="D131" t="s">
        <v>36</v>
      </c>
      <c r="E131" t="s">
        <v>22</v>
      </c>
      <c r="F131">
        <v>129</v>
      </c>
      <c r="G131" s="2">
        <v>161</v>
      </c>
      <c r="H131" s="2">
        <v>626.20000000000005</v>
      </c>
      <c r="I131" s="2">
        <v>5.8</v>
      </c>
      <c r="J131" t="s">
        <v>34</v>
      </c>
      <c r="K131" s="2">
        <v>465.2</v>
      </c>
      <c r="L131" s="3">
        <v>288.89999999999998</v>
      </c>
    </row>
    <row r="132" spans="1:12" x14ac:dyDescent="0.3">
      <c r="A132">
        <v>131</v>
      </c>
      <c r="B132" t="s">
        <v>176</v>
      </c>
      <c r="C132">
        <v>2018</v>
      </c>
      <c r="D132" t="s">
        <v>36</v>
      </c>
      <c r="E132" t="s">
        <v>22</v>
      </c>
      <c r="F132">
        <v>120</v>
      </c>
      <c r="G132" s="2">
        <v>48</v>
      </c>
      <c r="H132" s="2">
        <v>147</v>
      </c>
      <c r="I132" s="2">
        <v>7.2</v>
      </c>
      <c r="J132" t="s">
        <v>31</v>
      </c>
      <c r="K132" s="2">
        <v>99</v>
      </c>
      <c r="L132" s="3">
        <v>206.2</v>
      </c>
    </row>
    <row r="133" spans="1:12" x14ac:dyDescent="0.3">
      <c r="A133">
        <v>132</v>
      </c>
      <c r="B133" t="s">
        <v>177</v>
      </c>
      <c r="C133">
        <v>1990</v>
      </c>
      <c r="D133" t="s">
        <v>25</v>
      </c>
      <c r="E133" t="s">
        <v>22</v>
      </c>
      <c r="F133">
        <v>107</v>
      </c>
      <c r="G133" s="2">
        <v>85.6</v>
      </c>
      <c r="H133" s="2">
        <v>48.2</v>
      </c>
      <c r="I133" s="2">
        <v>6.6</v>
      </c>
      <c r="J133" t="s">
        <v>34</v>
      </c>
      <c r="K133" s="2">
        <v>-37.4</v>
      </c>
      <c r="L133" s="3">
        <v>-43.7</v>
      </c>
    </row>
    <row r="134" spans="1:12" x14ac:dyDescent="0.3">
      <c r="A134">
        <v>133</v>
      </c>
      <c r="B134" t="s">
        <v>178</v>
      </c>
      <c r="C134">
        <v>2000</v>
      </c>
      <c r="D134" t="s">
        <v>47</v>
      </c>
      <c r="E134" t="s">
        <v>22</v>
      </c>
      <c r="F134">
        <v>143</v>
      </c>
      <c r="G134" s="2">
        <v>146.1</v>
      </c>
      <c r="H134" s="2">
        <v>446.9</v>
      </c>
      <c r="I134" s="2">
        <v>5.8</v>
      </c>
      <c r="J134" t="s">
        <v>51</v>
      </c>
      <c r="K134" s="2">
        <v>300.8</v>
      </c>
      <c r="L134" s="3">
        <v>205.9</v>
      </c>
    </row>
    <row r="135" spans="1:12" x14ac:dyDescent="0.3">
      <c r="A135">
        <v>134</v>
      </c>
      <c r="B135" t="s">
        <v>179</v>
      </c>
      <c r="C135">
        <v>2004</v>
      </c>
      <c r="D135" t="s">
        <v>36</v>
      </c>
      <c r="E135" t="s">
        <v>18</v>
      </c>
      <c r="F135">
        <v>75</v>
      </c>
      <c r="G135" s="2">
        <v>7</v>
      </c>
      <c r="H135" s="2">
        <v>4.9000000000000004</v>
      </c>
      <c r="I135" s="2">
        <v>7.8</v>
      </c>
      <c r="J135" t="s">
        <v>75</v>
      </c>
      <c r="K135" s="2">
        <v>-2.1</v>
      </c>
      <c r="L135" s="3">
        <v>-30</v>
      </c>
    </row>
    <row r="136" spans="1:12" x14ac:dyDescent="0.3">
      <c r="A136">
        <v>135</v>
      </c>
      <c r="B136" t="s">
        <v>180</v>
      </c>
      <c r="C136">
        <v>1992</v>
      </c>
      <c r="D136" t="s">
        <v>53</v>
      </c>
      <c r="E136" t="s">
        <v>22</v>
      </c>
      <c r="F136">
        <v>78</v>
      </c>
      <c r="G136" s="2">
        <v>42.5</v>
      </c>
      <c r="H136" s="2">
        <v>64.5</v>
      </c>
      <c r="I136" s="2">
        <v>7.9</v>
      </c>
      <c r="J136" t="s">
        <v>40</v>
      </c>
      <c r="K136" s="2">
        <v>22</v>
      </c>
      <c r="L136" s="3">
        <v>51.8</v>
      </c>
    </row>
    <row r="137" spans="1:12" x14ac:dyDescent="0.3">
      <c r="A137">
        <v>136</v>
      </c>
      <c r="B137" t="s">
        <v>181</v>
      </c>
      <c r="C137">
        <v>2024</v>
      </c>
      <c r="D137" t="s">
        <v>25</v>
      </c>
      <c r="E137" t="s">
        <v>18</v>
      </c>
      <c r="F137">
        <v>146</v>
      </c>
      <c r="G137" s="2">
        <v>17.5</v>
      </c>
      <c r="H137" s="2">
        <v>17.100000000000001</v>
      </c>
      <c r="I137" s="2">
        <v>7.1</v>
      </c>
      <c r="J137" t="s">
        <v>68</v>
      </c>
      <c r="K137" s="2">
        <v>-0.4</v>
      </c>
      <c r="L137" s="3">
        <v>-2.2999999999999998</v>
      </c>
    </row>
    <row r="138" spans="1:12" x14ac:dyDescent="0.3">
      <c r="A138">
        <v>137</v>
      </c>
      <c r="B138" t="s">
        <v>182</v>
      </c>
      <c r="C138">
        <v>2006</v>
      </c>
      <c r="D138" t="s">
        <v>25</v>
      </c>
      <c r="E138" t="s">
        <v>22</v>
      </c>
      <c r="F138">
        <v>141</v>
      </c>
      <c r="G138" s="2">
        <v>176.1</v>
      </c>
      <c r="H138" s="2">
        <v>185.3</v>
      </c>
      <c r="I138" s="2">
        <v>8.1999999999999993</v>
      </c>
      <c r="J138" t="s">
        <v>34</v>
      </c>
      <c r="K138" s="2">
        <v>9.1999999999999993</v>
      </c>
      <c r="L138" s="3">
        <v>5.2</v>
      </c>
    </row>
    <row r="139" spans="1:12" x14ac:dyDescent="0.3">
      <c r="A139">
        <v>138</v>
      </c>
      <c r="B139" t="s">
        <v>183</v>
      </c>
      <c r="C139">
        <v>2014</v>
      </c>
      <c r="D139" t="s">
        <v>25</v>
      </c>
      <c r="E139" t="s">
        <v>127</v>
      </c>
      <c r="F139">
        <v>137</v>
      </c>
      <c r="G139" s="2">
        <v>21.3</v>
      </c>
      <c r="H139" s="2">
        <v>25.3</v>
      </c>
      <c r="I139" s="2">
        <v>7.4</v>
      </c>
      <c r="J139" t="s">
        <v>31</v>
      </c>
      <c r="K139" s="2">
        <v>4</v>
      </c>
      <c r="L139" s="3">
        <v>18.8</v>
      </c>
    </row>
    <row r="140" spans="1:12" x14ac:dyDescent="0.3">
      <c r="A140">
        <v>139</v>
      </c>
      <c r="B140" t="s">
        <v>184</v>
      </c>
      <c r="C140">
        <v>2011</v>
      </c>
      <c r="D140" t="s">
        <v>17</v>
      </c>
      <c r="E140" t="s">
        <v>22</v>
      </c>
      <c r="F140">
        <v>132</v>
      </c>
      <c r="G140" s="2">
        <v>63</v>
      </c>
      <c r="H140" s="2">
        <v>75</v>
      </c>
      <c r="I140" s="2">
        <v>8.9</v>
      </c>
      <c r="J140" t="s">
        <v>28</v>
      </c>
      <c r="K140" s="2">
        <v>12</v>
      </c>
      <c r="L140" s="3">
        <v>19</v>
      </c>
    </row>
    <row r="141" spans="1:12" x14ac:dyDescent="0.3">
      <c r="A141">
        <v>140</v>
      </c>
      <c r="B141" t="s">
        <v>185</v>
      </c>
      <c r="C141">
        <v>2007</v>
      </c>
      <c r="D141" t="s">
        <v>27</v>
      </c>
      <c r="E141" t="s">
        <v>18</v>
      </c>
      <c r="F141">
        <v>115</v>
      </c>
      <c r="G141" s="2">
        <v>14.6</v>
      </c>
      <c r="H141" s="2">
        <v>48.5</v>
      </c>
      <c r="I141" s="2">
        <v>7.5</v>
      </c>
      <c r="J141" t="s">
        <v>48</v>
      </c>
      <c r="K141" s="2">
        <v>33.9</v>
      </c>
      <c r="L141" s="3">
        <v>232.2</v>
      </c>
    </row>
    <row r="142" spans="1:12" x14ac:dyDescent="0.3">
      <c r="A142">
        <v>141</v>
      </c>
      <c r="B142" t="s">
        <v>186</v>
      </c>
      <c r="C142">
        <v>2006</v>
      </c>
      <c r="D142" t="s">
        <v>25</v>
      </c>
      <c r="E142" t="s">
        <v>18</v>
      </c>
      <c r="F142">
        <v>138</v>
      </c>
      <c r="G142" s="2">
        <v>45.7</v>
      </c>
      <c r="H142" s="2">
        <v>17</v>
      </c>
      <c r="I142" s="2">
        <v>7.3</v>
      </c>
      <c r="J142" t="s">
        <v>68</v>
      </c>
      <c r="K142" s="2">
        <v>-28.7</v>
      </c>
      <c r="L142" s="3">
        <v>-62.8</v>
      </c>
    </row>
    <row r="143" spans="1:12" x14ac:dyDescent="0.3">
      <c r="A143">
        <v>142</v>
      </c>
      <c r="B143" t="s">
        <v>187</v>
      </c>
      <c r="C143">
        <v>2022</v>
      </c>
      <c r="D143" t="s">
        <v>47</v>
      </c>
      <c r="E143" t="s">
        <v>22</v>
      </c>
      <c r="F143">
        <v>75</v>
      </c>
      <c r="G143" s="2">
        <v>56.8</v>
      </c>
      <c r="H143" s="2">
        <v>69.7</v>
      </c>
      <c r="I143" s="2">
        <v>6.4</v>
      </c>
      <c r="J143" t="s">
        <v>91</v>
      </c>
      <c r="K143" s="2">
        <v>12.9</v>
      </c>
      <c r="L143" s="3">
        <v>22.7</v>
      </c>
    </row>
    <row r="144" spans="1:12" x14ac:dyDescent="0.3">
      <c r="A144">
        <v>143</v>
      </c>
      <c r="B144" t="s">
        <v>188</v>
      </c>
      <c r="C144">
        <v>2015</v>
      </c>
      <c r="D144" t="s">
        <v>45</v>
      </c>
      <c r="E144" t="s">
        <v>18</v>
      </c>
      <c r="F144">
        <v>131</v>
      </c>
      <c r="G144" s="2">
        <v>6.6</v>
      </c>
      <c r="H144" s="2">
        <v>16.399999999999999</v>
      </c>
      <c r="I144" s="2">
        <v>7.2</v>
      </c>
      <c r="J144" t="s">
        <v>68</v>
      </c>
      <c r="K144" s="2">
        <v>9.8000000000000007</v>
      </c>
      <c r="L144" s="3">
        <v>148.5</v>
      </c>
    </row>
    <row r="145" spans="1:12" x14ac:dyDescent="0.3">
      <c r="A145">
        <v>144</v>
      </c>
      <c r="B145" t="s">
        <v>189</v>
      </c>
      <c r="C145">
        <v>2001</v>
      </c>
      <c r="D145" t="s">
        <v>47</v>
      </c>
      <c r="E145" t="s">
        <v>30</v>
      </c>
      <c r="F145">
        <v>108</v>
      </c>
      <c r="G145" s="2">
        <v>70.8</v>
      </c>
      <c r="H145" s="2">
        <v>370.4</v>
      </c>
      <c r="I145" s="2">
        <v>8</v>
      </c>
      <c r="J145" t="s">
        <v>31</v>
      </c>
      <c r="K145" s="2">
        <v>299.60000000000002</v>
      </c>
      <c r="L145" s="3">
        <v>423.2</v>
      </c>
    </row>
    <row r="146" spans="1:12" x14ac:dyDescent="0.3">
      <c r="A146">
        <v>145</v>
      </c>
      <c r="B146" t="s">
        <v>190</v>
      </c>
      <c r="C146">
        <v>2015</v>
      </c>
      <c r="D146" t="s">
        <v>27</v>
      </c>
      <c r="E146" t="s">
        <v>22</v>
      </c>
      <c r="F146">
        <v>167</v>
      </c>
      <c r="G146" s="2">
        <v>46</v>
      </c>
      <c r="H146" s="2">
        <v>165.6</v>
      </c>
      <c r="I146" s="2">
        <v>6.8</v>
      </c>
      <c r="J146" t="s">
        <v>79</v>
      </c>
      <c r="K146" s="2">
        <v>119.6</v>
      </c>
      <c r="L146" s="3">
        <v>260</v>
      </c>
    </row>
    <row r="147" spans="1:12" x14ac:dyDescent="0.3">
      <c r="A147">
        <v>146</v>
      </c>
      <c r="B147" t="s">
        <v>191</v>
      </c>
      <c r="C147">
        <v>2008</v>
      </c>
      <c r="D147" t="s">
        <v>21</v>
      </c>
      <c r="E147" t="s">
        <v>22</v>
      </c>
      <c r="F147">
        <v>179</v>
      </c>
      <c r="G147" s="2">
        <v>56.5</v>
      </c>
      <c r="H147" s="2">
        <v>37.6</v>
      </c>
      <c r="I147" s="2">
        <v>8</v>
      </c>
      <c r="J147" t="s">
        <v>28</v>
      </c>
      <c r="K147" s="2">
        <v>-18.899999999999999</v>
      </c>
      <c r="L147" s="3">
        <v>-33.5</v>
      </c>
    </row>
    <row r="148" spans="1:12" x14ac:dyDescent="0.3">
      <c r="A148">
        <v>147</v>
      </c>
      <c r="B148" t="s">
        <v>192</v>
      </c>
      <c r="C148">
        <v>2007</v>
      </c>
      <c r="D148" t="s">
        <v>25</v>
      </c>
      <c r="E148" t="s">
        <v>18</v>
      </c>
      <c r="F148">
        <v>103</v>
      </c>
      <c r="G148" s="2">
        <v>11.9</v>
      </c>
      <c r="H148" s="2">
        <v>20.5</v>
      </c>
      <c r="I148" s="2">
        <v>6.7</v>
      </c>
      <c r="J148" t="s">
        <v>19</v>
      </c>
      <c r="K148" s="2">
        <v>8.6</v>
      </c>
      <c r="L148" s="3">
        <v>72.3</v>
      </c>
    </row>
    <row r="149" spans="1:12" x14ac:dyDescent="0.3">
      <c r="A149">
        <v>148</v>
      </c>
      <c r="B149" t="s">
        <v>193</v>
      </c>
      <c r="C149">
        <v>2004</v>
      </c>
      <c r="D149" t="s">
        <v>13</v>
      </c>
      <c r="E149" t="s">
        <v>22</v>
      </c>
      <c r="F149">
        <v>89</v>
      </c>
      <c r="G149" s="2">
        <v>130.80000000000001</v>
      </c>
      <c r="H149" s="2">
        <v>274.2</v>
      </c>
      <c r="I149" s="2">
        <v>7.9</v>
      </c>
      <c r="J149" t="s">
        <v>40</v>
      </c>
      <c r="K149" s="2">
        <v>143.4</v>
      </c>
      <c r="L149" s="3">
        <v>109.6</v>
      </c>
    </row>
    <row r="150" spans="1:12" x14ac:dyDescent="0.3">
      <c r="A150">
        <v>149</v>
      </c>
      <c r="B150" t="s">
        <v>194</v>
      </c>
      <c r="C150">
        <v>1993</v>
      </c>
      <c r="D150" t="s">
        <v>36</v>
      </c>
      <c r="E150" t="s">
        <v>18</v>
      </c>
      <c r="F150">
        <v>130</v>
      </c>
      <c r="G150" s="2">
        <v>26.3</v>
      </c>
      <c r="H150" s="2">
        <v>40.799999999999997</v>
      </c>
      <c r="I150" s="2">
        <v>7</v>
      </c>
      <c r="J150" t="s">
        <v>75</v>
      </c>
      <c r="K150" s="2">
        <v>14.5</v>
      </c>
      <c r="L150" s="3">
        <v>55.1</v>
      </c>
    </row>
    <row r="151" spans="1:12" x14ac:dyDescent="0.3">
      <c r="A151">
        <v>150</v>
      </c>
      <c r="B151" t="s">
        <v>195</v>
      </c>
      <c r="C151">
        <v>1991</v>
      </c>
      <c r="D151" t="s">
        <v>17</v>
      </c>
      <c r="E151" t="s">
        <v>39</v>
      </c>
      <c r="F151">
        <v>169</v>
      </c>
      <c r="G151" s="2">
        <v>33.4</v>
      </c>
      <c r="H151" s="2">
        <v>78.5</v>
      </c>
      <c r="I151" s="2">
        <v>5.9</v>
      </c>
      <c r="J151" t="s">
        <v>23</v>
      </c>
      <c r="K151" s="2">
        <v>45.1</v>
      </c>
      <c r="L151" s="3">
        <v>135</v>
      </c>
    </row>
    <row r="152" spans="1:12" x14ac:dyDescent="0.3">
      <c r="A152">
        <v>151</v>
      </c>
      <c r="B152" t="s">
        <v>196</v>
      </c>
      <c r="C152">
        <v>2007</v>
      </c>
      <c r="D152" t="s">
        <v>45</v>
      </c>
      <c r="E152" t="s">
        <v>18</v>
      </c>
      <c r="F152">
        <v>133</v>
      </c>
      <c r="G152" s="2">
        <v>9.6</v>
      </c>
      <c r="H152" s="2">
        <v>17.600000000000001</v>
      </c>
      <c r="I152" s="2">
        <v>7.6</v>
      </c>
      <c r="J152" t="s">
        <v>68</v>
      </c>
      <c r="K152" s="2">
        <v>8</v>
      </c>
      <c r="L152" s="3">
        <v>83.3</v>
      </c>
    </row>
    <row r="153" spans="1:12" x14ac:dyDescent="0.3">
      <c r="A153">
        <v>152</v>
      </c>
      <c r="B153" t="s">
        <v>197</v>
      </c>
      <c r="C153">
        <v>2003</v>
      </c>
      <c r="D153" t="s">
        <v>17</v>
      </c>
      <c r="E153" t="s">
        <v>22</v>
      </c>
      <c r="F153">
        <v>115</v>
      </c>
      <c r="G153" s="2">
        <v>79.5</v>
      </c>
      <c r="H153" s="2">
        <v>158.6</v>
      </c>
      <c r="I153" s="2">
        <v>6.5</v>
      </c>
      <c r="J153" t="s">
        <v>34</v>
      </c>
      <c r="K153" s="2">
        <v>79.099999999999994</v>
      </c>
      <c r="L153" s="3">
        <v>99.5</v>
      </c>
    </row>
    <row r="154" spans="1:12" x14ac:dyDescent="0.3">
      <c r="A154">
        <v>153</v>
      </c>
      <c r="B154" t="s">
        <v>198</v>
      </c>
      <c r="C154">
        <v>2017</v>
      </c>
      <c r="D154" t="s">
        <v>13</v>
      </c>
      <c r="E154" t="s">
        <v>18</v>
      </c>
      <c r="F154">
        <v>86</v>
      </c>
      <c r="G154" s="2">
        <v>9.8000000000000007</v>
      </c>
      <c r="H154" s="2">
        <v>5.4</v>
      </c>
      <c r="I154" s="2">
        <v>7.2</v>
      </c>
      <c r="J154" t="s">
        <v>68</v>
      </c>
      <c r="K154" s="2">
        <v>-4.4000000000000004</v>
      </c>
      <c r="L154" s="3">
        <v>-44.9</v>
      </c>
    </row>
    <row r="155" spans="1:12" x14ac:dyDescent="0.3">
      <c r="A155">
        <v>154</v>
      </c>
      <c r="B155" t="s">
        <v>199</v>
      </c>
      <c r="C155">
        <v>1999</v>
      </c>
      <c r="D155" t="s">
        <v>45</v>
      </c>
      <c r="E155" t="s">
        <v>22</v>
      </c>
      <c r="F155">
        <v>92</v>
      </c>
      <c r="G155" s="2">
        <v>105.8</v>
      </c>
      <c r="H155" s="2">
        <v>350.5</v>
      </c>
      <c r="I155" s="2">
        <v>5.8</v>
      </c>
      <c r="J155" t="s">
        <v>40</v>
      </c>
      <c r="K155" s="2">
        <v>244.7</v>
      </c>
      <c r="L155" s="3">
        <v>231.3</v>
      </c>
    </row>
    <row r="156" spans="1:12" x14ac:dyDescent="0.3">
      <c r="A156">
        <v>155</v>
      </c>
      <c r="B156" t="s">
        <v>200</v>
      </c>
      <c r="C156">
        <v>2009</v>
      </c>
      <c r="D156" t="s">
        <v>65</v>
      </c>
      <c r="E156" t="s">
        <v>18</v>
      </c>
      <c r="F156">
        <v>155</v>
      </c>
      <c r="G156" s="2">
        <v>11.2</v>
      </c>
      <c r="H156" s="2">
        <v>25.1</v>
      </c>
      <c r="I156" s="2">
        <v>8</v>
      </c>
      <c r="J156" t="s">
        <v>68</v>
      </c>
      <c r="K156" s="2">
        <v>13.9</v>
      </c>
      <c r="L156" s="3">
        <v>124.1</v>
      </c>
    </row>
    <row r="157" spans="1:12" x14ac:dyDescent="0.3">
      <c r="A157">
        <v>156</v>
      </c>
      <c r="B157" t="s">
        <v>201</v>
      </c>
      <c r="C157">
        <v>2009</v>
      </c>
      <c r="D157" t="s">
        <v>13</v>
      </c>
      <c r="E157" t="s">
        <v>22</v>
      </c>
      <c r="F157">
        <v>130</v>
      </c>
      <c r="G157" s="2">
        <v>58.9</v>
      </c>
      <c r="H157" s="2">
        <v>239.4</v>
      </c>
      <c r="I157" s="2">
        <v>6.2</v>
      </c>
      <c r="J157" t="s">
        <v>40</v>
      </c>
      <c r="K157" s="2">
        <v>180.5</v>
      </c>
      <c r="L157" s="3">
        <v>306.5</v>
      </c>
    </row>
    <row r="158" spans="1:12" x14ac:dyDescent="0.3">
      <c r="A158">
        <v>157</v>
      </c>
      <c r="B158" t="s">
        <v>202</v>
      </c>
      <c r="C158">
        <v>1994</v>
      </c>
      <c r="D158" t="s">
        <v>25</v>
      </c>
      <c r="E158" t="s">
        <v>127</v>
      </c>
      <c r="F158">
        <v>174</v>
      </c>
      <c r="G158" s="2">
        <v>55.4</v>
      </c>
      <c r="H158" s="2">
        <v>29.3</v>
      </c>
      <c r="I158" s="2">
        <v>5.7</v>
      </c>
      <c r="J158" t="s">
        <v>40</v>
      </c>
      <c r="K158" s="2">
        <v>-26.1</v>
      </c>
      <c r="L158" s="3">
        <v>-47.1</v>
      </c>
    </row>
    <row r="159" spans="1:12" x14ac:dyDescent="0.3">
      <c r="A159">
        <v>158</v>
      </c>
      <c r="B159" t="s">
        <v>203</v>
      </c>
      <c r="C159">
        <v>2012</v>
      </c>
      <c r="D159" t="s">
        <v>45</v>
      </c>
      <c r="E159" t="s">
        <v>22</v>
      </c>
      <c r="F159">
        <v>137</v>
      </c>
      <c r="G159" s="2">
        <v>32.200000000000003</v>
      </c>
      <c r="H159" s="2">
        <v>102.3</v>
      </c>
      <c r="I159" s="2">
        <v>7.7</v>
      </c>
      <c r="J159" t="s">
        <v>31</v>
      </c>
      <c r="K159" s="2">
        <v>70.099999999999994</v>
      </c>
      <c r="L159" s="3">
        <v>217.7</v>
      </c>
    </row>
    <row r="160" spans="1:12" x14ac:dyDescent="0.3">
      <c r="A160">
        <v>159</v>
      </c>
      <c r="B160" t="s">
        <v>204</v>
      </c>
      <c r="C160">
        <v>2010</v>
      </c>
      <c r="D160" t="s">
        <v>25</v>
      </c>
      <c r="E160" t="s">
        <v>18</v>
      </c>
      <c r="F160">
        <v>122</v>
      </c>
      <c r="G160" s="2">
        <v>11.8</v>
      </c>
      <c r="H160" s="2">
        <v>13.9</v>
      </c>
      <c r="I160" s="2">
        <v>7.3</v>
      </c>
      <c r="J160" t="s">
        <v>48</v>
      </c>
      <c r="K160" s="2">
        <v>2.1</v>
      </c>
      <c r="L160" s="3">
        <v>17.8</v>
      </c>
    </row>
    <row r="161" spans="1:12" x14ac:dyDescent="0.3">
      <c r="A161">
        <v>160</v>
      </c>
      <c r="B161" t="s">
        <v>205</v>
      </c>
      <c r="C161">
        <v>2001</v>
      </c>
      <c r="D161" t="s">
        <v>25</v>
      </c>
      <c r="E161" t="s">
        <v>66</v>
      </c>
      <c r="F161">
        <v>129</v>
      </c>
      <c r="G161" s="2">
        <v>122</v>
      </c>
      <c r="H161" s="2">
        <v>250.1</v>
      </c>
      <c r="I161" s="2">
        <v>8.6999999999999993</v>
      </c>
      <c r="J161" t="s">
        <v>23</v>
      </c>
      <c r="K161" s="2">
        <v>128.1</v>
      </c>
      <c r="L161" s="3">
        <v>105</v>
      </c>
    </row>
    <row r="162" spans="1:12" x14ac:dyDescent="0.3">
      <c r="A162">
        <v>161</v>
      </c>
      <c r="B162" t="s">
        <v>206</v>
      </c>
      <c r="C162">
        <v>1991</v>
      </c>
      <c r="D162" t="s">
        <v>21</v>
      </c>
      <c r="E162" t="s">
        <v>22</v>
      </c>
      <c r="F162">
        <v>116</v>
      </c>
      <c r="G162" s="2">
        <v>75.900000000000006</v>
      </c>
      <c r="H162" s="2">
        <v>142.6</v>
      </c>
      <c r="I162" s="2">
        <v>7.4</v>
      </c>
      <c r="J162" t="s">
        <v>91</v>
      </c>
      <c r="K162" s="2">
        <v>66.7</v>
      </c>
      <c r="L162" s="3">
        <v>87.9</v>
      </c>
    </row>
    <row r="163" spans="1:12" x14ac:dyDescent="0.3">
      <c r="A163">
        <v>162</v>
      </c>
      <c r="B163" t="s">
        <v>207</v>
      </c>
      <c r="C163">
        <v>1993</v>
      </c>
      <c r="D163" t="s">
        <v>45</v>
      </c>
      <c r="E163" t="s">
        <v>66</v>
      </c>
      <c r="F163">
        <v>105</v>
      </c>
      <c r="G163" s="2">
        <v>171</v>
      </c>
      <c r="H163" s="2">
        <v>160.19999999999999</v>
      </c>
      <c r="I163" s="2">
        <v>6.9</v>
      </c>
      <c r="J163" t="s">
        <v>37</v>
      </c>
      <c r="K163" s="2">
        <v>-10.8</v>
      </c>
      <c r="L163" s="3">
        <v>-6.3</v>
      </c>
    </row>
    <row r="164" spans="1:12" x14ac:dyDescent="0.3">
      <c r="A164">
        <v>163</v>
      </c>
      <c r="B164" t="s">
        <v>208</v>
      </c>
      <c r="C164">
        <v>1996</v>
      </c>
      <c r="D164" t="s">
        <v>25</v>
      </c>
      <c r="E164" t="s">
        <v>22</v>
      </c>
      <c r="F164">
        <v>164</v>
      </c>
      <c r="G164" s="2">
        <v>34.4</v>
      </c>
      <c r="H164" s="2">
        <v>76.8</v>
      </c>
      <c r="I164" s="2">
        <v>5.7</v>
      </c>
      <c r="J164" t="s">
        <v>79</v>
      </c>
      <c r="K164" s="2">
        <v>42.4</v>
      </c>
      <c r="L164" s="3">
        <v>123.3</v>
      </c>
    </row>
    <row r="165" spans="1:12" x14ac:dyDescent="0.3">
      <c r="A165">
        <v>164</v>
      </c>
      <c r="B165" t="s">
        <v>209</v>
      </c>
      <c r="C165">
        <v>2024</v>
      </c>
      <c r="D165" t="s">
        <v>13</v>
      </c>
      <c r="E165" t="s">
        <v>22</v>
      </c>
      <c r="F165">
        <v>117</v>
      </c>
      <c r="G165" s="2">
        <v>91.2</v>
      </c>
      <c r="H165" s="2">
        <v>309</v>
      </c>
      <c r="I165" s="2">
        <v>6.2</v>
      </c>
      <c r="J165" t="s">
        <v>23</v>
      </c>
      <c r="K165" s="2">
        <v>217.8</v>
      </c>
      <c r="L165" s="3">
        <v>238.8</v>
      </c>
    </row>
    <row r="166" spans="1:12" x14ac:dyDescent="0.3">
      <c r="A166">
        <v>165</v>
      </c>
      <c r="B166" t="s">
        <v>210</v>
      </c>
      <c r="C166">
        <v>1998</v>
      </c>
      <c r="D166" t="s">
        <v>65</v>
      </c>
      <c r="E166" t="s">
        <v>18</v>
      </c>
      <c r="F166">
        <v>90</v>
      </c>
      <c r="G166" s="2">
        <v>3.5</v>
      </c>
      <c r="H166" s="2">
        <v>6</v>
      </c>
      <c r="I166" s="2">
        <v>9.1999999999999993</v>
      </c>
      <c r="J166" t="s">
        <v>68</v>
      </c>
      <c r="K166" s="2">
        <v>2.5</v>
      </c>
      <c r="L166" s="3">
        <v>71.400000000000006</v>
      </c>
    </row>
    <row r="167" spans="1:12" x14ac:dyDescent="0.3">
      <c r="A167">
        <v>166</v>
      </c>
      <c r="B167" t="s">
        <v>211</v>
      </c>
      <c r="C167">
        <v>2012</v>
      </c>
      <c r="D167" t="s">
        <v>47</v>
      </c>
      <c r="E167" t="s">
        <v>33</v>
      </c>
      <c r="F167">
        <v>143</v>
      </c>
      <c r="G167" s="2">
        <v>114.8</v>
      </c>
      <c r="H167" s="2">
        <v>215.2</v>
      </c>
      <c r="I167" s="2">
        <v>7.4</v>
      </c>
      <c r="J167" t="s">
        <v>91</v>
      </c>
      <c r="K167" s="2">
        <v>100.4</v>
      </c>
      <c r="L167" s="3">
        <v>87.5</v>
      </c>
    </row>
    <row r="168" spans="1:12" x14ac:dyDescent="0.3">
      <c r="A168">
        <v>167</v>
      </c>
      <c r="B168" t="s">
        <v>212</v>
      </c>
      <c r="C168">
        <v>2000</v>
      </c>
      <c r="D168" t="s">
        <v>65</v>
      </c>
      <c r="E168" t="s">
        <v>22</v>
      </c>
      <c r="F168">
        <v>113</v>
      </c>
      <c r="G168" s="2">
        <v>47.2</v>
      </c>
      <c r="H168" s="2">
        <v>113</v>
      </c>
      <c r="I168" s="2">
        <v>8.9</v>
      </c>
      <c r="J168" t="s">
        <v>51</v>
      </c>
      <c r="K168" s="2">
        <v>65.8</v>
      </c>
      <c r="L168" s="3">
        <v>139.4</v>
      </c>
    </row>
    <row r="169" spans="1:12" x14ac:dyDescent="0.3">
      <c r="A169">
        <v>168</v>
      </c>
      <c r="B169" t="s">
        <v>213</v>
      </c>
      <c r="C169">
        <v>2018</v>
      </c>
      <c r="D169" t="s">
        <v>36</v>
      </c>
      <c r="E169" t="s">
        <v>22</v>
      </c>
      <c r="F169">
        <v>131</v>
      </c>
      <c r="G169" s="2">
        <v>202.4</v>
      </c>
      <c r="H169" s="2">
        <v>294.7</v>
      </c>
      <c r="I169" s="2">
        <v>7.8</v>
      </c>
      <c r="J169" t="s">
        <v>79</v>
      </c>
      <c r="K169" s="2">
        <v>92.3</v>
      </c>
      <c r="L169" s="3">
        <v>45.6</v>
      </c>
    </row>
    <row r="170" spans="1:12" x14ac:dyDescent="0.3">
      <c r="A170">
        <v>169</v>
      </c>
      <c r="B170" t="s">
        <v>214</v>
      </c>
      <c r="C170">
        <v>1993</v>
      </c>
      <c r="D170" t="s">
        <v>47</v>
      </c>
      <c r="E170" t="s">
        <v>22</v>
      </c>
      <c r="F170">
        <v>100</v>
      </c>
      <c r="G170" s="2">
        <v>98.3</v>
      </c>
      <c r="H170" s="2">
        <v>346.2</v>
      </c>
      <c r="I170" s="2">
        <v>6.6</v>
      </c>
      <c r="J170" t="s">
        <v>31</v>
      </c>
      <c r="K170" s="2">
        <v>247.9</v>
      </c>
      <c r="L170" s="3">
        <v>252.2</v>
      </c>
    </row>
    <row r="171" spans="1:12" x14ac:dyDescent="0.3">
      <c r="A171">
        <v>170</v>
      </c>
      <c r="B171" t="s">
        <v>215</v>
      </c>
      <c r="C171">
        <v>2025</v>
      </c>
      <c r="D171" t="s">
        <v>65</v>
      </c>
      <c r="E171" t="s">
        <v>22</v>
      </c>
      <c r="F171">
        <v>132</v>
      </c>
      <c r="G171" s="2">
        <v>42.1</v>
      </c>
      <c r="H171" s="2">
        <v>102.9</v>
      </c>
      <c r="I171" s="2">
        <v>7.2</v>
      </c>
      <c r="J171" t="s">
        <v>51</v>
      </c>
      <c r="K171" s="2">
        <v>60.8</v>
      </c>
      <c r="L171" s="3">
        <v>144.4</v>
      </c>
    </row>
    <row r="172" spans="1:12" x14ac:dyDescent="0.3">
      <c r="A172">
        <v>171</v>
      </c>
      <c r="B172" t="s">
        <v>216</v>
      </c>
      <c r="C172">
        <v>2002</v>
      </c>
      <c r="D172" t="s">
        <v>17</v>
      </c>
      <c r="E172" t="s">
        <v>66</v>
      </c>
      <c r="F172">
        <v>137</v>
      </c>
      <c r="G172" s="2">
        <v>24.6</v>
      </c>
      <c r="H172" s="2">
        <v>61.1</v>
      </c>
      <c r="I172" s="2">
        <v>6</v>
      </c>
      <c r="J172" t="s">
        <v>79</v>
      </c>
      <c r="K172" s="2">
        <v>36.5</v>
      </c>
      <c r="L172" s="3">
        <v>148.4</v>
      </c>
    </row>
    <row r="173" spans="1:12" x14ac:dyDescent="0.3">
      <c r="A173">
        <v>172</v>
      </c>
      <c r="B173" t="s">
        <v>217</v>
      </c>
      <c r="C173">
        <v>1993</v>
      </c>
      <c r="D173" t="s">
        <v>13</v>
      </c>
      <c r="E173" t="s">
        <v>18</v>
      </c>
      <c r="F173">
        <v>107</v>
      </c>
      <c r="G173" s="2">
        <v>18.600000000000001</v>
      </c>
      <c r="H173" s="2">
        <v>14.4</v>
      </c>
      <c r="I173" s="2">
        <v>7.7</v>
      </c>
      <c r="J173" t="s">
        <v>75</v>
      </c>
      <c r="K173" s="2">
        <v>-4.2</v>
      </c>
      <c r="L173" s="3">
        <v>-22.6</v>
      </c>
    </row>
    <row r="174" spans="1:12" x14ac:dyDescent="0.3">
      <c r="A174">
        <v>173</v>
      </c>
      <c r="B174" t="s">
        <v>218</v>
      </c>
      <c r="C174">
        <v>1994</v>
      </c>
      <c r="D174" t="s">
        <v>13</v>
      </c>
      <c r="E174" t="s">
        <v>33</v>
      </c>
      <c r="F174">
        <v>111</v>
      </c>
      <c r="G174" s="2">
        <v>32.200000000000003</v>
      </c>
      <c r="H174" s="2">
        <v>43.2</v>
      </c>
      <c r="I174" s="2">
        <v>7.6</v>
      </c>
      <c r="J174" t="s">
        <v>57</v>
      </c>
      <c r="K174" s="2">
        <v>11</v>
      </c>
      <c r="L174" s="3">
        <v>34.200000000000003</v>
      </c>
    </row>
    <row r="175" spans="1:12" x14ac:dyDescent="0.3">
      <c r="A175">
        <v>174</v>
      </c>
      <c r="B175" t="s">
        <v>219</v>
      </c>
      <c r="C175">
        <v>1998</v>
      </c>
      <c r="D175" t="s">
        <v>65</v>
      </c>
      <c r="E175" t="s">
        <v>18</v>
      </c>
      <c r="F175">
        <v>95</v>
      </c>
      <c r="G175" s="2">
        <v>19.8</v>
      </c>
      <c r="H175" s="2">
        <v>38.299999999999997</v>
      </c>
      <c r="I175" s="2">
        <v>5.7</v>
      </c>
      <c r="J175" t="s">
        <v>75</v>
      </c>
      <c r="K175" s="2">
        <v>18.5</v>
      </c>
      <c r="L175" s="3">
        <v>93.4</v>
      </c>
    </row>
    <row r="176" spans="1:12" x14ac:dyDescent="0.3">
      <c r="A176">
        <v>175</v>
      </c>
      <c r="B176" t="s">
        <v>220</v>
      </c>
      <c r="C176">
        <v>2000</v>
      </c>
      <c r="D176" t="s">
        <v>21</v>
      </c>
      <c r="E176" t="s">
        <v>22</v>
      </c>
      <c r="F176">
        <v>83</v>
      </c>
      <c r="G176" s="2">
        <v>142.4</v>
      </c>
      <c r="H176" s="2">
        <v>702.4</v>
      </c>
      <c r="I176" s="2">
        <v>6.4</v>
      </c>
      <c r="J176" t="s">
        <v>23</v>
      </c>
      <c r="K176" s="2">
        <v>560</v>
      </c>
      <c r="L176" s="3">
        <v>393.3</v>
      </c>
    </row>
    <row r="177" spans="1:12" x14ac:dyDescent="0.3">
      <c r="A177">
        <v>176</v>
      </c>
      <c r="B177" t="s">
        <v>221</v>
      </c>
      <c r="C177">
        <v>2022</v>
      </c>
      <c r="D177" t="s">
        <v>17</v>
      </c>
      <c r="E177" t="s">
        <v>22</v>
      </c>
      <c r="F177">
        <v>146</v>
      </c>
      <c r="G177" s="2">
        <v>39.9</v>
      </c>
      <c r="H177" s="2">
        <v>31.7</v>
      </c>
      <c r="I177" s="2">
        <v>6</v>
      </c>
      <c r="J177" t="s">
        <v>57</v>
      </c>
      <c r="K177" s="2">
        <v>-8.1999999999999993</v>
      </c>
      <c r="L177" s="3">
        <v>-20.6</v>
      </c>
    </row>
    <row r="178" spans="1:12" x14ac:dyDescent="0.3">
      <c r="A178">
        <v>177</v>
      </c>
      <c r="B178" t="s">
        <v>222</v>
      </c>
      <c r="C178">
        <v>1991</v>
      </c>
      <c r="D178" t="s">
        <v>45</v>
      </c>
      <c r="E178" t="s">
        <v>22</v>
      </c>
      <c r="F178">
        <v>140</v>
      </c>
      <c r="G178" s="2">
        <v>20.2</v>
      </c>
      <c r="H178" s="2">
        <v>64.7</v>
      </c>
      <c r="I178" s="2">
        <v>6.9</v>
      </c>
      <c r="J178" t="s">
        <v>40</v>
      </c>
      <c r="K178" s="2">
        <v>44.5</v>
      </c>
      <c r="L178" s="3">
        <v>220.3</v>
      </c>
    </row>
    <row r="179" spans="1:12" x14ac:dyDescent="0.3">
      <c r="A179">
        <v>178</v>
      </c>
      <c r="B179" t="s">
        <v>223</v>
      </c>
      <c r="C179">
        <v>2011</v>
      </c>
      <c r="D179" t="s">
        <v>45</v>
      </c>
      <c r="E179" t="s">
        <v>66</v>
      </c>
      <c r="F179">
        <v>86</v>
      </c>
      <c r="G179" s="2">
        <v>53.5</v>
      </c>
      <c r="H179" s="2">
        <v>37.1</v>
      </c>
      <c r="I179" s="2">
        <v>8.6999999999999993</v>
      </c>
      <c r="J179" t="s">
        <v>23</v>
      </c>
      <c r="K179" s="2">
        <v>-16.399999999999999</v>
      </c>
      <c r="L179" s="3">
        <v>-30.7</v>
      </c>
    </row>
    <row r="180" spans="1:12" x14ac:dyDescent="0.3">
      <c r="A180">
        <v>179</v>
      </c>
      <c r="B180" t="s">
        <v>224</v>
      </c>
      <c r="C180">
        <v>2025</v>
      </c>
      <c r="D180" t="s">
        <v>21</v>
      </c>
      <c r="E180" t="s">
        <v>14</v>
      </c>
      <c r="F180">
        <v>122</v>
      </c>
      <c r="G180" s="2">
        <v>33</v>
      </c>
      <c r="H180" s="2">
        <v>138.4</v>
      </c>
      <c r="I180" s="2">
        <v>8.3000000000000007</v>
      </c>
      <c r="J180" t="s">
        <v>15</v>
      </c>
      <c r="K180" s="2">
        <v>105.4</v>
      </c>
      <c r="L180" s="3">
        <v>319.39999999999998</v>
      </c>
    </row>
    <row r="181" spans="1:12" x14ac:dyDescent="0.3">
      <c r="A181">
        <v>180</v>
      </c>
      <c r="B181" t="s">
        <v>225</v>
      </c>
      <c r="C181">
        <v>2009</v>
      </c>
      <c r="D181" t="s">
        <v>27</v>
      </c>
      <c r="E181" t="s">
        <v>22</v>
      </c>
      <c r="F181">
        <v>94</v>
      </c>
      <c r="G181" s="2">
        <v>28.6</v>
      </c>
      <c r="H181" s="2">
        <v>163.6</v>
      </c>
      <c r="I181" s="2">
        <v>6.8</v>
      </c>
      <c r="J181" t="s">
        <v>37</v>
      </c>
      <c r="K181" s="2">
        <v>135</v>
      </c>
      <c r="L181" s="3">
        <v>472</v>
      </c>
    </row>
    <row r="182" spans="1:12" x14ac:dyDescent="0.3">
      <c r="A182">
        <v>181</v>
      </c>
      <c r="B182" t="s">
        <v>226</v>
      </c>
      <c r="C182">
        <v>1990</v>
      </c>
      <c r="D182" t="s">
        <v>47</v>
      </c>
      <c r="E182" t="s">
        <v>22</v>
      </c>
      <c r="F182">
        <v>145</v>
      </c>
      <c r="G182" s="2">
        <v>38.799999999999997</v>
      </c>
      <c r="H182" s="2">
        <v>213.7</v>
      </c>
      <c r="I182" s="2">
        <v>7.2</v>
      </c>
      <c r="J182" t="s">
        <v>23</v>
      </c>
      <c r="K182" s="2">
        <v>174.9</v>
      </c>
      <c r="L182" s="3">
        <v>450.8</v>
      </c>
    </row>
    <row r="183" spans="1:12" x14ac:dyDescent="0.3">
      <c r="A183">
        <v>182</v>
      </c>
      <c r="B183" t="s">
        <v>227</v>
      </c>
      <c r="C183">
        <v>2023</v>
      </c>
      <c r="D183" t="s">
        <v>25</v>
      </c>
      <c r="E183" t="s">
        <v>22</v>
      </c>
      <c r="F183">
        <v>186</v>
      </c>
      <c r="G183" s="2">
        <v>36</v>
      </c>
      <c r="H183" s="2">
        <v>30.7</v>
      </c>
      <c r="I183" s="2">
        <v>5.9</v>
      </c>
      <c r="J183" t="s">
        <v>37</v>
      </c>
      <c r="K183" s="2">
        <v>-5.3</v>
      </c>
      <c r="L183" s="3">
        <v>-14.7</v>
      </c>
    </row>
    <row r="184" spans="1:12" x14ac:dyDescent="0.3">
      <c r="A184">
        <v>183</v>
      </c>
      <c r="B184" t="s">
        <v>228</v>
      </c>
      <c r="C184">
        <v>2016</v>
      </c>
      <c r="D184" t="s">
        <v>13</v>
      </c>
      <c r="E184" t="s">
        <v>22</v>
      </c>
      <c r="F184">
        <v>97</v>
      </c>
      <c r="G184" s="2">
        <v>12.9</v>
      </c>
      <c r="H184" s="2">
        <v>35.799999999999997</v>
      </c>
      <c r="I184" s="2">
        <v>7.9</v>
      </c>
      <c r="J184" t="s">
        <v>23</v>
      </c>
      <c r="K184" s="2">
        <v>22.9</v>
      </c>
      <c r="L184" s="3">
        <v>177.5</v>
      </c>
    </row>
    <row r="185" spans="1:12" x14ac:dyDescent="0.3">
      <c r="A185">
        <v>184</v>
      </c>
      <c r="B185" t="s">
        <v>229</v>
      </c>
      <c r="C185">
        <v>2004</v>
      </c>
      <c r="D185" t="s">
        <v>21</v>
      </c>
      <c r="E185" t="s">
        <v>18</v>
      </c>
      <c r="F185">
        <v>125</v>
      </c>
      <c r="G185" s="2">
        <v>12.8</v>
      </c>
      <c r="H185" s="2">
        <v>22.4</v>
      </c>
      <c r="I185" s="2">
        <v>7</v>
      </c>
      <c r="J185" t="s">
        <v>19</v>
      </c>
      <c r="K185" s="2">
        <v>9.6</v>
      </c>
      <c r="L185" s="3">
        <v>75</v>
      </c>
    </row>
    <row r="186" spans="1:12" x14ac:dyDescent="0.3">
      <c r="A186">
        <v>185</v>
      </c>
      <c r="B186" t="s">
        <v>230</v>
      </c>
      <c r="C186">
        <v>2013</v>
      </c>
      <c r="D186" t="s">
        <v>17</v>
      </c>
      <c r="E186" t="s">
        <v>18</v>
      </c>
      <c r="F186">
        <v>111</v>
      </c>
      <c r="G186" s="2">
        <v>25</v>
      </c>
      <c r="H186" s="2">
        <v>10.6</v>
      </c>
      <c r="I186" s="2">
        <v>6.7</v>
      </c>
      <c r="J186" t="s">
        <v>68</v>
      </c>
      <c r="K186" s="2">
        <v>-14.4</v>
      </c>
      <c r="L186" s="3">
        <v>-57.6</v>
      </c>
    </row>
    <row r="187" spans="1:12" x14ac:dyDescent="0.3">
      <c r="A187">
        <v>186</v>
      </c>
      <c r="B187" t="s">
        <v>231</v>
      </c>
      <c r="C187">
        <v>2003</v>
      </c>
      <c r="D187" t="s">
        <v>21</v>
      </c>
      <c r="E187" t="s">
        <v>66</v>
      </c>
      <c r="F187">
        <v>111</v>
      </c>
      <c r="G187" s="2">
        <v>128.9</v>
      </c>
      <c r="H187" s="2">
        <v>146.80000000000001</v>
      </c>
      <c r="I187" s="2">
        <v>5.7</v>
      </c>
      <c r="J187" t="s">
        <v>51</v>
      </c>
      <c r="K187" s="2">
        <v>17.899999999999999</v>
      </c>
      <c r="L187" s="3">
        <v>13.9</v>
      </c>
    </row>
    <row r="188" spans="1:12" x14ac:dyDescent="0.3">
      <c r="A188">
        <v>187</v>
      </c>
      <c r="B188" t="s">
        <v>232</v>
      </c>
      <c r="C188">
        <v>2005</v>
      </c>
      <c r="D188" t="s">
        <v>36</v>
      </c>
      <c r="E188" t="s">
        <v>22</v>
      </c>
      <c r="F188">
        <v>105</v>
      </c>
      <c r="G188" s="2">
        <v>84.6</v>
      </c>
      <c r="H188" s="2">
        <v>187.4</v>
      </c>
      <c r="I188" s="2">
        <v>5.7</v>
      </c>
      <c r="J188" t="s">
        <v>23</v>
      </c>
      <c r="K188" s="2">
        <v>102.8</v>
      </c>
      <c r="L188" s="3">
        <v>121.5</v>
      </c>
    </row>
    <row r="189" spans="1:12" x14ac:dyDescent="0.3">
      <c r="A189">
        <v>188</v>
      </c>
      <c r="B189" t="s">
        <v>233</v>
      </c>
      <c r="C189">
        <v>2001</v>
      </c>
      <c r="D189" t="s">
        <v>21</v>
      </c>
      <c r="E189" t="s">
        <v>22</v>
      </c>
      <c r="F189">
        <v>125</v>
      </c>
      <c r="G189" s="2">
        <v>32.1</v>
      </c>
      <c r="H189" s="2">
        <v>116.3</v>
      </c>
      <c r="I189" s="2">
        <v>7</v>
      </c>
      <c r="J189" t="s">
        <v>31</v>
      </c>
      <c r="K189" s="2">
        <v>84.2</v>
      </c>
      <c r="L189" s="3">
        <v>262.3</v>
      </c>
    </row>
    <row r="190" spans="1:12" x14ac:dyDescent="0.3">
      <c r="A190">
        <v>189</v>
      </c>
      <c r="B190" t="s">
        <v>234</v>
      </c>
      <c r="C190">
        <v>2018</v>
      </c>
      <c r="D190" t="s">
        <v>25</v>
      </c>
      <c r="E190" t="s">
        <v>18</v>
      </c>
      <c r="F190">
        <v>91</v>
      </c>
      <c r="G190" s="2">
        <v>14.8</v>
      </c>
      <c r="H190" s="2">
        <v>15.8</v>
      </c>
      <c r="I190" s="2">
        <v>8.6</v>
      </c>
      <c r="J190" t="s">
        <v>59</v>
      </c>
      <c r="K190" s="2">
        <v>1</v>
      </c>
      <c r="L190" s="3">
        <v>6.8</v>
      </c>
    </row>
    <row r="191" spans="1:12" x14ac:dyDescent="0.3">
      <c r="A191">
        <v>190</v>
      </c>
      <c r="B191" t="s">
        <v>235</v>
      </c>
      <c r="C191">
        <v>2020</v>
      </c>
      <c r="D191" t="s">
        <v>45</v>
      </c>
      <c r="E191" t="s">
        <v>18</v>
      </c>
      <c r="F191">
        <v>122</v>
      </c>
      <c r="G191" s="2">
        <v>6.7</v>
      </c>
      <c r="H191" s="2">
        <v>16.3</v>
      </c>
      <c r="I191" s="2">
        <v>6.6</v>
      </c>
      <c r="J191" t="s">
        <v>59</v>
      </c>
      <c r="K191" s="2">
        <v>9.6</v>
      </c>
      <c r="L191" s="3">
        <v>143.30000000000001</v>
      </c>
    </row>
    <row r="192" spans="1:12" x14ac:dyDescent="0.3">
      <c r="A192">
        <v>191</v>
      </c>
      <c r="B192" t="s">
        <v>236</v>
      </c>
      <c r="C192">
        <v>2022</v>
      </c>
      <c r="D192" t="s">
        <v>27</v>
      </c>
      <c r="E192" t="s">
        <v>127</v>
      </c>
      <c r="F192">
        <v>137</v>
      </c>
      <c r="G192" s="2">
        <v>30.1</v>
      </c>
      <c r="H192" s="2">
        <v>149.1</v>
      </c>
      <c r="I192" s="2">
        <v>7.9</v>
      </c>
      <c r="J192" t="s">
        <v>31</v>
      </c>
      <c r="K192" s="2">
        <v>119</v>
      </c>
      <c r="L192" s="3">
        <v>395.3</v>
      </c>
    </row>
    <row r="193" spans="1:12" x14ac:dyDescent="0.3">
      <c r="A193">
        <v>192</v>
      </c>
      <c r="B193" t="s">
        <v>237</v>
      </c>
      <c r="C193">
        <v>2024</v>
      </c>
      <c r="D193" t="s">
        <v>65</v>
      </c>
      <c r="E193" t="s">
        <v>22</v>
      </c>
      <c r="F193">
        <v>141</v>
      </c>
      <c r="G193" s="2">
        <v>125.6</v>
      </c>
      <c r="H193" s="2">
        <v>60.9</v>
      </c>
      <c r="I193" s="2">
        <v>7.8</v>
      </c>
      <c r="J193" t="s">
        <v>37</v>
      </c>
      <c r="K193" s="2">
        <v>-64.7</v>
      </c>
      <c r="L193" s="3">
        <v>-51.5</v>
      </c>
    </row>
    <row r="194" spans="1:12" x14ac:dyDescent="0.3">
      <c r="A194">
        <v>193</v>
      </c>
      <c r="B194" t="s">
        <v>238</v>
      </c>
      <c r="C194">
        <v>1991</v>
      </c>
      <c r="D194" t="s">
        <v>25</v>
      </c>
      <c r="E194" t="s">
        <v>22</v>
      </c>
      <c r="F194">
        <v>146</v>
      </c>
      <c r="G194" s="2">
        <v>35.799999999999997</v>
      </c>
      <c r="H194" s="2">
        <v>38.6</v>
      </c>
      <c r="I194" s="2">
        <v>5.8</v>
      </c>
      <c r="J194" t="s">
        <v>51</v>
      </c>
      <c r="K194" s="2">
        <v>2.8</v>
      </c>
      <c r="L194" s="3">
        <v>7.8</v>
      </c>
    </row>
    <row r="195" spans="1:12" x14ac:dyDescent="0.3">
      <c r="A195">
        <v>194</v>
      </c>
      <c r="B195" t="s">
        <v>239</v>
      </c>
      <c r="C195">
        <v>2010</v>
      </c>
      <c r="D195" t="s">
        <v>47</v>
      </c>
      <c r="E195" t="s">
        <v>18</v>
      </c>
      <c r="F195">
        <v>129</v>
      </c>
      <c r="G195" s="2">
        <v>11.9</v>
      </c>
      <c r="H195" s="2">
        <v>9.6999999999999993</v>
      </c>
      <c r="I195" s="2">
        <v>7.6</v>
      </c>
      <c r="J195" t="s">
        <v>48</v>
      </c>
      <c r="K195" s="2">
        <v>-2.2000000000000002</v>
      </c>
      <c r="L195" s="3">
        <v>-18.5</v>
      </c>
    </row>
    <row r="196" spans="1:12" x14ac:dyDescent="0.3">
      <c r="A196">
        <v>195</v>
      </c>
      <c r="B196" t="s">
        <v>240</v>
      </c>
      <c r="C196">
        <v>2000</v>
      </c>
      <c r="D196" t="s">
        <v>27</v>
      </c>
      <c r="E196" t="s">
        <v>18</v>
      </c>
      <c r="F196">
        <v>143</v>
      </c>
      <c r="G196" s="2">
        <v>4.7</v>
      </c>
      <c r="H196" s="2">
        <v>16.8</v>
      </c>
      <c r="I196" s="2">
        <v>8</v>
      </c>
      <c r="J196" t="s">
        <v>75</v>
      </c>
      <c r="K196" s="2">
        <v>12.1</v>
      </c>
      <c r="L196" s="3">
        <v>257.39999999999998</v>
      </c>
    </row>
    <row r="197" spans="1:12" x14ac:dyDescent="0.3">
      <c r="A197">
        <v>196</v>
      </c>
      <c r="B197" t="s">
        <v>241</v>
      </c>
      <c r="C197">
        <v>2010</v>
      </c>
      <c r="D197" t="s">
        <v>53</v>
      </c>
      <c r="E197" t="s">
        <v>22</v>
      </c>
      <c r="F197">
        <v>133</v>
      </c>
      <c r="G197" s="2">
        <v>92.1</v>
      </c>
      <c r="H197" s="2">
        <v>289.5</v>
      </c>
      <c r="I197" s="2">
        <v>7.2</v>
      </c>
      <c r="J197" t="s">
        <v>57</v>
      </c>
      <c r="K197" s="2">
        <v>197.4</v>
      </c>
      <c r="L197" s="3">
        <v>214.3</v>
      </c>
    </row>
    <row r="198" spans="1:12" x14ac:dyDescent="0.3">
      <c r="A198">
        <v>197</v>
      </c>
      <c r="B198" t="s">
        <v>242</v>
      </c>
      <c r="C198">
        <v>2018</v>
      </c>
      <c r="D198" t="s">
        <v>13</v>
      </c>
      <c r="E198" t="s">
        <v>18</v>
      </c>
      <c r="F198">
        <v>124</v>
      </c>
      <c r="G198" s="2">
        <v>32.1</v>
      </c>
      <c r="H198" s="2">
        <v>46.8</v>
      </c>
      <c r="I198" s="2">
        <v>5.7</v>
      </c>
      <c r="J198" t="s">
        <v>48</v>
      </c>
      <c r="K198" s="2">
        <v>14.7</v>
      </c>
      <c r="L198" s="3">
        <v>45.8</v>
      </c>
    </row>
    <row r="199" spans="1:12" x14ac:dyDescent="0.3">
      <c r="A199">
        <v>198</v>
      </c>
      <c r="B199" t="s">
        <v>243</v>
      </c>
      <c r="C199">
        <v>2006</v>
      </c>
      <c r="D199" t="s">
        <v>25</v>
      </c>
      <c r="E199" t="s">
        <v>22</v>
      </c>
      <c r="F199">
        <v>118</v>
      </c>
      <c r="G199" s="2">
        <v>41.3</v>
      </c>
      <c r="H199" s="2">
        <v>25.8</v>
      </c>
      <c r="I199" s="2">
        <v>7</v>
      </c>
      <c r="J199" t="s">
        <v>23</v>
      </c>
      <c r="K199" s="2">
        <v>-15.5</v>
      </c>
      <c r="L199" s="3">
        <v>-37.5</v>
      </c>
    </row>
    <row r="200" spans="1:12" x14ac:dyDescent="0.3">
      <c r="A200">
        <v>199</v>
      </c>
      <c r="B200" t="s">
        <v>244</v>
      </c>
      <c r="C200">
        <v>2012</v>
      </c>
      <c r="D200" t="s">
        <v>45</v>
      </c>
      <c r="E200" t="s">
        <v>22</v>
      </c>
      <c r="F200">
        <v>75</v>
      </c>
      <c r="G200" s="2">
        <v>74.7</v>
      </c>
      <c r="H200" s="2">
        <v>173.4</v>
      </c>
      <c r="I200" s="2">
        <v>6.1</v>
      </c>
      <c r="J200" t="s">
        <v>28</v>
      </c>
      <c r="K200" s="2">
        <v>98.7</v>
      </c>
      <c r="L200" s="3">
        <v>132.1</v>
      </c>
    </row>
    <row r="201" spans="1:12" x14ac:dyDescent="0.3">
      <c r="A201">
        <v>200</v>
      </c>
      <c r="B201" t="s">
        <v>245</v>
      </c>
      <c r="C201">
        <v>1994</v>
      </c>
      <c r="D201" t="s">
        <v>45</v>
      </c>
      <c r="E201" t="s">
        <v>18</v>
      </c>
      <c r="F201">
        <v>80</v>
      </c>
      <c r="G201" s="2">
        <v>13.7</v>
      </c>
      <c r="H201" s="2">
        <v>14.1</v>
      </c>
      <c r="I201" s="2">
        <v>7.3</v>
      </c>
      <c r="J201" t="s">
        <v>68</v>
      </c>
      <c r="K201" s="2">
        <v>0.4</v>
      </c>
      <c r="L201" s="3">
        <v>2.9</v>
      </c>
    </row>
    <row r="202" spans="1:12" x14ac:dyDescent="0.3">
      <c r="A202">
        <v>201</v>
      </c>
      <c r="B202" t="s">
        <v>246</v>
      </c>
      <c r="C202">
        <v>1998</v>
      </c>
      <c r="D202" t="s">
        <v>65</v>
      </c>
      <c r="E202" t="s">
        <v>22</v>
      </c>
      <c r="F202">
        <v>103</v>
      </c>
      <c r="G202" s="2">
        <v>33.6</v>
      </c>
      <c r="H202" s="2">
        <v>22.4</v>
      </c>
      <c r="I202" s="2">
        <v>7.1</v>
      </c>
      <c r="J202" t="s">
        <v>57</v>
      </c>
      <c r="K202" s="2">
        <v>-11.2</v>
      </c>
      <c r="L202" s="3">
        <v>-33.299999999999997</v>
      </c>
    </row>
    <row r="203" spans="1:12" x14ac:dyDescent="0.3">
      <c r="A203">
        <v>202</v>
      </c>
      <c r="B203" t="s">
        <v>247</v>
      </c>
      <c r="C203">
        <v>1999</v>
      </c>
      <c r="D203" t="s">
        <v>36</v>
      </c>
      <c r="E203" t="s">
        <v>22</v>
      </c>
      <c r="F203">
        <v>139</v>
      </c>
      <c r="G203" s="2">
        <v>63.2</v>
      </c>
      <c r="H203" s="2">
        <v>243.1</v>
      </c>
      <c r="I203" s="2">
        <v>6.2</v>
      </c>
      <c r="J203" t="s">
        <v>28</v>
      </c>
      <c r="K203" s="2">
        <v>179.9</v>
      </c>
      <c r="L203" s="3">
        <v>284.7</v>
      </c>
    </row>
    <row r="204" spans="1:12" x14ac:dyDescent="0.3">
      <c r="A204">
        <v>203</v>
      </c>
      <c r="B204" t="s">
        <v>248</v>
      </c>
      <c r="C204">
        <v>2005</v>
      </c>
      <c r="D204" t="s">
        <v>47</v>
      </c>
      <c r="E204" t="s">
        <v>18</v>
      </c>
      <c r="F204">
        <v>98</v>
      </c>
      <c r="G204" s="2">
        <v>2.7</v>
      </c>
      <c r="H204" s="2">
        <v>6.1</v>
      </c>
      <c r="I204" s="2">
        <v>7.6</v>
      </c>
      <c r="J204" t="s">
        <v>19</v>
      </c>
      <c r="K204" s="2">
        <v>3.4</v>
      </c>
      <c r="L204" s="3">
        <v>125.9</v>
      </c>
    </row>
    <row r="205" spans="1:12" x14ac:dyDescent="0.3">
      <c r="A205">
        <v>204</v>
      </c>
      <c r="B205" t="s">
        <v>249</v>
      </c>
      <c r="C205">
        <v>2019</v>
      </c>
      <c r="D205" t="s">
        <v>53</v>
      </c>
      <c r="E205" t="s">
        <v>18</v>
      </c>
      <c r="F205">
        <v>128</v>
      </c>
      <c r="G205" s="2">
        <v>4.4000000000000004</v>
      </c>
      <c r="H205" s="2">
        <v>10.5</v>
      </c>
      <c r="I205" s="2">
        <v>7.9</v>
      </c>
      <c r="J205" t="s">
        <v>19</v>
      </c>
      <c r="K205" s="2">
        <v>6.1</v>
      </c>
      <c r="L205" s="3">
        <v>138.6</v>
      </c>
    </row>
    <row r="206" spans="1:12" x14ac:dyDescent="0.3">
      <c r="A206">
        <v>205</v>
      </c>
      <c r="B206" t="s">
        <v>250</v>
      </c>
      <c r="C206">
        <v>2001</v>
      </c>
      <c r="D206" t="s">
        <v>53</v>
      </c>
      <c r="E206" t="s">
        <v>22</v>
      </c>
      <c r="F206">
        <v>92</v>
      </c>
      <c r="G206" s="2">
        <v>77.5</v>
      </c>
      <c r="H206" s="2">
        <v>48.8</v>
      </c>
      <c r="I206" s="2">
        <v>8.1</v>
      </c>
      <c r="J206" t="s">
        <v>40</v>
      </c>
      <c r="K206" s="2">
        <v>-28.7</v>
      </c>
      <c r="L206" s="3">
        <v>-37</v>
      </c>
    </row>
    <row r="207" spans="1:12" x14ac:dyDescent="0.3">
      <c r="A207">
        <v>206</v>
      </c>
      <c r="B207" t="s">
        <v>251</v>
      </c>
      <c r="C207">
        <v>2014</v>
      </c>
      <c r="D207" t="s">
        <v>53</v>
      </c>
      <c r="E207" t="s">
        <v>22</v>
      </c>
      <c r="F207">
        <v>105</v>
      </c>
      <c r="G207" s="2">
        <v>82.8</v>
      </c>
      <c r="H207" s="2">
        <v>62.6</v>
      </c>
      <c r="I207" s="2">
        <v>6.5</v>
      </c>
      <c r="J207" t="s">
        <v>34</v>
      </c>
      <c r="K207" s="2">
        <v>-20.2</v>
      </c>
      <c r="L207" s="3">
        <v>-24.4</v>
      </c>
    </row>
    <row r="208" spans="1:12" x14ac:dyDescent="0.3">
      <c r="A208">
        <v>207</v>
      </c>
      <c r="B208" t="s">
        <v>252</v>
      </c>
      <c r="C208">
        <v>2020</v>
      </c>
      <c r="D208" t="s">
        <v>27</v>
      </c>
      <c r="E208" t="s">
        <v>22</v>
      </c>
      <c r="F208">
        <v>182</v>
      </c>
      <c r="G208" s="2">
        <v>145.6</v>
      </c>
      <c r="H208" s="2">
        <v>458.6</v>
      </c>
      <c r="I208" s="2">
        <v>7.6</v>
      </c>
      <c r="J208" t="s">
        <v>51</v>
      </c>
      <c r="K208" s="2">
        <v>313</v>
      </c>
      <c r="L208" s="3">
        <v>215</v>
      </c>
    </row>
    <row r="209" spans="1:12" x14ac:dyDescent="0.3">
      <c r="A209">
        <v>208</v>
      </c>
      <c r="B209" t="s">
        <v>253</v>
      </c>
      <c r="C209">
        <v>2018</v>
      </c>
      <c r="D209" t="s">
        <v>25</v>
      </c>
      <c r="E209" t="s">
        <v>33</v>
      </c>
      <c r="F209">
        <v>80</v>
      </c>
      <c r="G209" s="2">
        <v>53.9</v>
      </c>
      <c r="H209" s="2">
        <v>85.3</v>
      </c>
      <c r="I209" s="2">
        <v>7.1</v>
      </c>
      <c r="J209" t="s">
        <v>28</v>
      </c>
      <c r="K209" s="2">
        <v>31.4</v>
      </c>
      <c r="L209" s="3">
        <v>58.3</v>
      </c>
    </row>
    <row r="210" spans="1:12" x14ac:dyDescent="0.3">
      <c r="A210">
        <v>209</v>
      </c>
      <c r="B210" t="s">
        <v>254</v>
      </c>
      <c r="C210">
        <v>1994</v>
      </c>
      <c r="D210" t="s">
        <v>47</v>
      </c>
      <c r="E210" t="s">
        <v>22</v>
      </c>
      <c r="F210">
        <v>157</v>
      </c>
      <c r="G210" s="2">
        <v>47.3</v>
      </c>
      <c r="H210" s="2">
        <v>77.7</v>
      </c>
      <c r="I210" s="2">
        <v>8.6</v>
      </c>
      <c r="J210" t="s">
        <v>31</v>
      </c>
      <c r="K210" s="2">
        <v>30.4</v>
      </c>
      <c r="L210" s="3">
        <v>64.3</v>
      </c>
    </row>
    <row r="211" spans="1:12" x14ac:dyDescent="0.3">
      <c r="A211">
        <v>210</v>
      </c>
      <c r="B211" t="s">
        <v>255</v>
      </c>
      <c r="C211">
        <v>2016</v>
      </c>
      <c r="D211" t="s">
        <v>13</v>
      </c>
      <c r="E211" t="s">
        <v>22</v>
      </c>
      <c r="F211">
        <v>134</v>
      </c>
      <c r="G211" s="2">
        <v>58.8</v>
      </c>
      <c r="H211" s="2">
        <v>199.6</v>
      </c>
      <c r="I211" s="2">
        <v>7.1</v>
      </c>
      <c r="J211" t="s">
        <v>91</v>
      </c>
      <c r="K211" s="2">
        <v>140.80000000000001</v>
      </c>
      <c r="L211" s="3">
        <v>239.5</v>
      </c>
    </row>
    <row r="212" spans="1:12" x14ac:dyDescent="0.3">
      <c r="A212">
        <v>211</v>
      </c>
      <c r="B212" t="s">
        <v>256</v>
      </c>
      <c r="C212">
        <v>2001</v>
      </c>
      <c r="D212" t="s">
        <v>36</v>
      </c>
      <c r="E212" t="s">
        <v>22</v>
      </c>
      <c r="F212">
        <v>144</v>
      </c>
      <c r="G212" s="2">
        <v>150.80000000000001</v>
      </c>
      <c r="H212" s="2">
        <v>488.7</v>
      </c>
      <c r="I212" s="2">
        <v>7</v>
      </c>
      <c r="J212" t="s">
        <v>34</v>
      </c>
      <c r="K212" s="2">
        <v>337.9</v>
      </c>
      <c r="L212" s="3">
        <v>224.1</v>
      </c>
    </row>
    <row r="213" spans="1:12" x14ac:dyDescent="0.3">
      <c r="A213">
        <v>212</v>
      </c>
      <c r="B213" t="s">
        <v>257</v>
      </c>
      <c r="C213">
        <v>2008</v>
      </c>
      <c r="D213" t="s">
        <v>21</v>
      </c>
      <c r="E213" t="s">
        <v>22</v>
      </c>
      <c r="F213">
        <v>155</v>
      </c>
      <c r="G213" s="2">
        <v>101.1</v>
      </c>
      <c r="H213" s="2">
        <v>342.3</v>
      </c>
      <c r="I213" s="2">
        <v>7.4</v>
      </c>
      <c r="J213" t="s">
        <v>31</v>
      </c>
      <c r="K213" s="2">
        <v>241.2</v>
      </c>
      <c r="L213" s="3">
        <v>238.6</v>
      </c>
    </row>
    <row r="214" spans="1:12" x14ac:dyDescent="0.3">
      <c r="A214">
        <v>213</v>
      </c>
      <c r="B214" t="s">
        <v>258</v>
      </c>
      <c r="C214">
        <v>2010</v>
      </c>
      <c r="D214" t="s">
        <v>25</v>
      </c>
      <c r="E214" t="s">
        <v>22</v>
      </c>
      <c r="F214">
        <v>86</v>
      </c>
      <c r="G214" s="2">
        <v>167.6</v>
      </c>
      <c r="H214" s="2">
        <v>686.4</v>
      </c>
      <c r="I214" s="2">
        <v>7.3</v>
      </c>
      <c r="J214" t="s">
        <v>79</v>
      </c>
      <c r="K214" s="2">
        <v>518.79999999999995</v>
      </c>
      <c r="L214" s="3">
        <v>309.5</v>
      </c>
    </row>
    <row r="215" spans="1:12" x14ac:dyDescent="0.3">
      <c r="A215">
        <v>214</v>
      </c>
      <c r="B215" t="s">
        <v>259</v>
      </c>
      <c r="C215">
        <v>1993</v>
      </c>
      <c r="D215" t="s">
        <v>17</v>
      </c>
      <c r="E215" t="s">
        <v>18</v>
      </c>
      <c r="F215">
        <v>104</v>
      </c>
      <c r="G215" s="2">
        <v>48.5</v>
      </c>
      <c r="H215" s="2">
        <v>125</v>
      </c>
      <c r="I215" s="2">
        <v>8.8000000000000007</v>
      </c>
      <c r="J215" t="s">
        <v>75</v>
      </c>
      <c r="K215" s="2">
        <v>76.5</v>
      </c>
      <c r="L215" s="3">
        <v>157.69999999999999</v>
      </c>
    </row>
    <row r="216" spans="1:12" x14ac:dyDescent="0.3">
      <c r="A216">
        <v>215</v>
      </c>
      <c r="B216" t="s">
        <v>260</v>
      </c>
      <c r="C216">
        <v>2023</v>
      </c>
      <c r="D216" t="s">
        <v>17</v>
      </c>
      <c r="E216" t="s">
        <v>18</v>
      </c>
      <c r="F216">
        <v>104</v>
      </c>
      <c r="G216" s="2">
        <v>12</v>
      </c>
      <c r="H216" s="2">
        <v>6.7</v>
      </c>
      <c r="I216" s="2">
        <v>8.1</v>
      </c>
      <c r="J216" t="s">
        <v>59</v>
      </c>
      <c r="K216" s="2">
        <v>-5.3</v>
      </c>
      <c r="L216" s="3">
        <v>-44.2</v>
      </c>
    </row>
    <row r="217" spans="1:12" x14ac:dyDescent="0.3">
      <c r="A217">
        <v>216</v>
      </c>
      <c r="B217" t="s">
        <v>261</v>
      </c>
      <c r="C217">
        <v>2020</v>
      </c>
      <c r="D217" t="s">
        <v>47</v>
      </c>
      <c r="E217" t="s">
        <v>22</v>
      </c>
      <c r="F217">
        <v>108</v>
      </c>
      <c r="G217" s="2">
        <v>47</v>
      </c>
      <c r="H217" s="2">
        <v>140.5</v>
      </c>
      <c r="I217" s="2">
        <v>6.3</v>
      </c>
      <c r="J217" t="s">
        <v>91</v>
      </c>
      <c r="K217" s="2">
        <v>93.5</v>
      </c>
      <c r="L217" s="3">
        <v>198.9</v>
      </c>
    </row>
    <row r="218" spans="1:12" x14ac:dyDescent="0.3">
      <c r="A218">
        <v>217</v>
      </c>
      <c r="B218" t="s">
        <v>262</v>
      </c>
      <c r="C218">
        <v>2007</v>
      </c>
      <c r="D218" t="s">
        <v>65</v>
      </c>
      <c r="E218" t="s">
        <v>22</v>
      </c>
      <c r="F218">
        <v>129</v>
      </c>
      <c r="G218" s="2">
        <v>100.2</v>
      </c>
      <c r="H218" s="2">
        <v>178</v>
      </c>
      <c r="I218" s="2">
        <v>8.1999999999999993</v>
      </c>
      <c r="J218" t="s">
        <v>91</v>
      </c>
      <c r="K218" s="2">
        <v>77.8</v>
      </c>
      <c r="L218" s="3">
        <v>77.599999999999994</v>
      </c>
    </row>
    <row r="219" spans="1:12" x14ac:dyDescent="0.3">
      <c r="A219">
        <v>218</v>
      </c>
      <c r="B219" t="s">
        <v>263</v>
      </c>
      <c r="C219">
        <v>2016</v>
      </c>
      <c r="D219" t="s">
        <v>45</v>
      </c>
      <c r="E219" t="s">
        <v>66</v>
      </c>
      <c r="F219">
        <v>139</v>
      </c>
      <c r="G219" s="2">
        <v>25.4</v>
      </c>
      <c r="H219" s="2">
        <v>48.7</v>
      </c>
      <c r="I219" s="2">
        <v>7.4</v>
      </c>
      <c r="J219" t="s">
        <v>79</v>
      </c>
      <c r="K219" s="2">
        <v>23.3</v>
      </c>
      <c r="L219" s="3">
        <v>91.7</v>
      </c>
    </row>
    <row r="220" spans="1:12" x14ac:dyDescent="0.3">
      <c r="A220">
        <v>219</v>
      </c>
      <c r="B220" t="s">
        <v>264</v>
      </c>
      <c r="C220">
        <v>1992</v>
      </c>
      <c r="D220" t="s">
        <v>25</v>
      </c>
      <c r="E220" t="s">
        <v>22</v>
      </c>
      <c r="F220">
        <v>128</v>
      </c>
      <c r="G220" s="2">
        <v>17.3</v>
      </c>
      <c r="H220" s="2">
        <v>31.5</v>
      </c>
      <c r="I220" s="2">
        <v>8</v>
      </c>
      <c r="J220" t="s">
        <v>51</v>
      </c>
      <c r="K220" s="2">
        <v>14.2</v>
      </c>
      <c r="L220" s="3">
        <v>82.1</v>
      </c>
    </row>
    <row r="221" spans="1:12" x14ac:dyDescent="0.3">
      <c r="A221">
        <v>220</v>
      </c>
      <c r="B221" t="s">
        <v>265</v>
      </c>
      <c r="C221">
        <v>2018</v>
      </c>
      <c r="D221" t="s">
        <v>27</v>
      </c>
      <c r="E221" t="s">
        <v>22</v>
      </c>
      <c r="F221">
        <v>120</v>
      </c>
      <c r="G221" s="2">
        <v>27</v>
      </c>
      <c r="H221" s="2">
        <v>31.3</v>
      </c>
      <c r="I221" s="2">
        <v>4.5</v>
      </c>
      <c r="J221" t="s">
        <v>40</v>
      </c>
      <c r="K221" s="2">
        <v>4.3</v>
      </c>
      <c r="L221" s="3">
        <v>15.9</v>
      </c>
    </row>
    <row r="222" spans="1:12" x14ac:dyDescent="0.3">
      <c r="A222">
        <v>221</v>
      </c>
      <c r="B222" t="s">
        <v>266</v>
      </c>
      <c r="C222">
        <v>1993</v>
      </c>
      <c r="D222" t="s">
        <v>25</v>
      </c>
      <c r="E222" t="s">
        <v>66</v>
      </c>
      <c r="F222">
        <v>109</v>
      </c>
      <c r="G222" s="2">
        <v>92.4</v>
      </c>
      <c r="H222" s="2">
        <v>300.39999999999998</v>
      </c>
      <c r="I222" s="2">
        <v>7.5</v>
      </c>
      <c r="J222" t="s">
        <v>31</v>
      </c>
      <c r="K222" s="2">
        <v>208</v>
      </c>
      <c r="L222" s="3">
        <v>225.1</v>
      </c>
    </row>
    <row r="223" spans="1:12" x14ac:dyDescent="0.3">
      <c r="A223">
        <v>222</v>
      </c>
      <c r="B223" t="s">
        <v>267</v>
      </c>
      <c r="C223">
        <v>2013</v>
      </c>
      <c r="D223" t="s">
        <v>27</v>
      </c>
      <c r="E223" t="s">
        <v>22</v>
      </c>
      <c r="F223">
        <v>110</v>
      </c>
      <c r="G223" s="2">
        <v>60.3</v>
      </c>
      <c r="H223" s="2">
        <v>110.9</v>
      </c>
      <c r="I223" s="2">
        <v>6.9</v>
      </c>
      <c r="J223" t="s">
        <v>28</v>
      </c>
      <c r="K223" s="2">
        <v>50.6</v>
      </c>
      <c r="L223" s="3">
        <v>83.9</v>
      </c>
    </row>
    <row r="224" spans="1:12" x14ac:dyDescent="0.3">
      <c r="A224">
        <v>223</v>
      </c>
      <c r="B224" t="s">
        <v>268</v>
      </c>
      <c r="C224">
        <v>2024</v>
      </c>
      <c r="D224" t="s">
        <v>13</v>
      </c>
      <c r="E224" t="s">
        <v>30</v>
      </c>
      <c r="F224">
        <v>112</v>
      </c>
      <c r="G224" s="2">
        <v>111</v>
      </c>
      <c r="H224" s="2">
        <v>117.1</v>
      </c>
      <c r="I224" s="2">
        <v>8</v>
      </c>
      <c r="J224" t="s">
        <v>79</v>
      </c>
      <c r="K224" s="2">
        <v>6.1</v>
      </c>
      <c r="L224" s="3">
        <v>5.5</v>
      </c>
    </row>
    <row r="225" spans="1:12" x14ac:dyDescent="0.3">
      <c r="A225">
        <v>224</v>
      </c>
      <c r="B225" t="s">
        <v>269</v>
      </c>
      <c r="C225">
        <v>2010</v>
      </c>
      <c r="D225" t="s">
        <v>17</v>
      </c>
      <c r="E225" t="s">
        <v>22</v>
      </c>
      <c r="F225">
        <v>175</v>
      </c>
      <c r="G225" s="2">
        <v>58</v>
      </c>
      <c r="H225" s="2">
        <v>236.4</v>
      </c>
      <c r="I225" s="2">
        <v>6.9</v>
      </c>
      <c r="J225" t="s">
        <v>37</v>
      </c>
      <c r="K225" s="2">
        <v>178.4</v>
      </c>
      <c r="L225" s="3">
        <v>307.60000000000002</v>
      </c>
    </row>
    <row r="226" spans="1:12" x14ac:dyDescent="0.3">
      <c r="A226">
        <v>225</v>
      </c>
      <c r="B226" t="s">
        <v>270</v>
      </c>
      <c r="C226">
        <v>2000</v>
      </c>
      <c r="D226" t="s">
        <v>21</v>
      </c>
      <c r="E226" t="s">
        <v>14</v>
      </c>
      <c r="F226">
        <v>137</v>
      </c>
      <c r="G226" s="2">
        <v>98.6</v>
      </c>
      <c r="H226" s="2">
        <v>349.1</v>
      </c>
      <c r="I226" s="2">
        <v>7.5</v>
      </c>
      <c r="J226" t="s">
        <v>15</v>
      </c>
      <c r="K226" s="2">
        <v>250.5</v>
      </c>
      <c r="L226" s="3">
        <v>254.1</v>
      </c>
    </row>
    <row r="227" spans="1:12" x14ac:dyDescent="0.3">
      <c r="A227">
        <v>226</v>
      </c>
      <c r="B227" t="s">
        <v>271</v>
      </c>
      <c r="C227">
        <v>1994</v>
      </c>
      <c r="D227" t="s">
        <v>45</v>
      </c>
      <c r="E227" t="s">
        <v>22</v>
      </c>
      <c r="F227">
        <v>124</v>
      </c>
      <c r="G227" s="2">
        <v>25.1</v>
      </c>
      <c r="H227" s="2">
        <v>107.6</v>
      </c>
      <c r="I227" s="2">
        <v>6.1</v>
      </c>
      <c r="J227" t="s">
        <v>28</v>
      </c>
      <c r="K227" s="2">
        <v>82.5</v>
      </c>
      <c r="L227" s="3">
        <v>328.7</v>
      </c>
    </row>
    <row r="228" spans="1:12" x14ac:dyDescent="0.3">
      <c r="A228">
        <v>227</v>
      </c>
      <c r="B228" t="s">
        <v>272</v>
      </c>
      <c r="C228">
        <v>2001</v>
      </c>
      <c r="D228" t="s">
        <v>65</v>
      </c>
      <c r="E228" t="s">
        <v>22</v>
      </c>
      <c r="F228">
        <v>109</v>
      </c>
      <c r="G228" s="2">
        <v>220.6</v>
      </c>
      <c r="H228" s="2">
        <v>161</v>
      </c>
      <c r="I228" s="2">
        <v>7.5</v>
      </c>
      <c r="J228" t="s">
        <v>34</v>
      </c>
      <c r="K228" s="2">
        <v>-59.6</v>
      </c>
      <c r="L228" s="3">
        <v>-27</v>
      </c>
    </row>
    <row r="229" spans="1:12" x14ac:dyDescent="0.3">
      <c r="A229">
        <v>228</v>
      </c>
      <c r="B229" t="s">
        <v>273</v>
      </c>
      <c r="C229">
        <v>2013</v>
      </c>
      <c r="D229" t="s">
        <v>25</v>
      </c>
      <c r="E229" t="s">
        <v>66</v>
      </c>
      <c r="F229">
        <v>172</v>
      </c>
      <c r="G229" s="2">
        <v>86.4</v>
      </c>
      <c r="H229" s="2">
        <v>71.3</v>
      </c>
      <c r="I229" s="2">
        <v>8.6999999999999993</v>
      </c>
      <c r="J229" t="s">
        <v>37</v>
      </c>
      <c r="K229" s="2">
        <v>-15.1</v>
      </c>
      <c r="L229" s="3">
        <v>-17.5</v>
      </c>
    </row>
    <row r="230" spans="1:12" x14ac:dyDescent="0.3">
      <c r="A230">
        <v>229</v>
      </c>
      <c r="B230" t="s">
        <v>274</v>
      </c>
      <c r="C230">
        <v>1995</v>
      </c>
      <c r="D230" t="s">
        <v>47</v>
      </c>
      <c r="E230" t="s">
        <v>22</v>
      </c>
      <c r="F230">
        <v>113</v>
      </c>
      <c r="G230" s="2">
        <v>293.5</v>
      </c>
      <c r="H230" s="2">
        <v>839.1</v>
      </c>
      <c r="I230" s="2">
        <v>7.7</v>
      </c>
      <c r="J230" t="s">
        <v>91</v>
      </c>
      <c r="K230" s="2">
        <v>545.6</v>
      </c>
      <c r="L230" s="3">
        <v>185.9</v>
      </c>
    </row>
    <row r="231" spans="1:12" x14ac:dyDescent="0.3">
      <c r="A231">
        <v>230</v>
      </c>
      <c r="B231" t="s">
        <v>275</v>
      </c>
      <c r="C231">
        <v>2013</v>
      </c>
      <c r="D231" t="s">
        <v>36</v>
      </c>
      <c r="E231" t="s">
        <v>22</v>
      </c>
      <c r="F231">
        <v>176</v>
      </c>
      <c r="G231" s="2">
        <v>13.1</v>
      </c>
      <c r="H231" s="2">
        <v>48.1</v>
      </c>
      <c r="I231" s="2">
        <v>7.1</v>
      </c>
      <c r="J231" t="s">
        <v>79</v>
      </c>
      <c r="K231" s="2">
        <v>35</v>
      </c>
      <c r="L231" s="3">
        <v>267.2</v>
      </c>
    </row>
    <row r="232" spans="1:12" x14ac:dyDescent="0.3">
      <c r="A232">
        <v>231</v>
      </c>
      <c r="B232" t="s">
        <v>276</v>
      </c>
      <c r="C232">
        <v>2015</v>
      </c>
      <c r="D232" t="s">
        <v>65</v>
      </c>
      <c r="E232" t="s">
        <v>18</v>
      </c>
      <c r="F232">
        <v>100</v>
      </c>
      <c r="G232" s="2">
        <v>16.899999999999999</v>
      </c>
      <c r="H232" s="2">
        <v>15.9</v>
      </c>
      <c r="I232" s="2">
        <v>7.2</v>
      </c>
      <c r="J232" t="s">
        <v>48</v>
      </c>
      <c r="K232" s="2">
        <v>-1</v>
      </c>
      <c r="L232" s="3">
        <v>-5.9</v>
      </c>
    </row>
    <row r="233" spans="1:12" x14ac:dyDescent="0.3">
      <c r="A233">
        <v>232</v>
      </c>
      <c r="B233" t="s">
        <v>277</v>
      </c>
      <c r="C233">
        <v>2017</v>
      </c>
      <c r="D233" t="s">
        <v>36</v>
      </c>
      <c r="E233" t="s">
        <v>22</v>
      </c>
      <c r="F233">
        <v>140</v>
      </c>
      <c r="G233" s="2">
        <v>53.1</v>
      </c>
      <c r="H233" s="2">
        <v>79.2</v>
      </c>
      <c r="I233" s="2">
        <v>6.5</v>
      </c>
      <c r="J233" t="s">
        <v>91</v>
      </c>
      <c r="K233" s="2">
        <v>26.1</v>
      </c>
      <c r="L233" s="3">
        <v>49.2</v>
      </c>
    </row>
    <row r="234" spans="1:12" x14ac:dyDescent="0.3">
      <c r="A234">
        <v>233</v>
      </c>
      <c r="B234" t="s">
        <v>278</v>
      </c>
      <c r="C234">
        <v>2024</v>
      </c>
      <c r="D234" t="s">
        <v>25</v>
      </c>
      <c r="E234" t="s">
        <v>14</v>
      </c>
      <c r="F234">
        <v>121</v>
      </c>
      <c r="G234" s="2">
        <v>33.700000000000003</v>
      </c>
      <c r="H234" s="2">
        <v>45.4</v>
      </c>
      <c r="I234" s="2">
        <v>8.1999999999999993</v>
      </c>
      <c r="J234" t="s">
        <v>15</v>
      </c>
      <c r="K234" s="2">
        <v>11.7</v>
      </c>
      <c r="L234" s="3">
        <v>34.700000000000003</v>
      </c>
    </row>
    <row r="235" spans="1:12" x14ac:dyDescent="0.3">
      <c r="A235">
        <v>234</v>
      </c>
      <c r="B235" t="s">
        <v>279</v>
      </c>
      <c r="C235">
        <v>2010</v>
      </c>
      <c r="D235" t="s">
        <v>65</v>
      </c>
      <c r="E235" t="s">
        <v>18</v>
      </c>
      <c r="F235">
        <v>107</v>
      </c>
      <c r="G235" s="2">
        <v>17.3</v>
      </c>
      <c r="H235" s="2">
        <v>38.299999999999997</v>
      </c>
      <c r="I235" s="2">
        <v>6.3</v>
      </c>
      <c r="J235" t="s">
        <v>75</v>
      </c>
      <c r="K235" s="2">
        <v>21</v>
      </c>
      <c r="L235" s="3">
        <v>121.4</v>
      </c>
    </row>
    <row r="236" spans="1:12" x14ac:dyDescent="0.3">
      <c r="A236">
        <v>235</v>
      </c>
      <c r="B236" t="s">
        <v>280</v>
      </c>
      <c r="C236">
        <v>1996</v>
      </c>
      <c r="D236" t="s">
        <v>17</v>
      </c>
      <c r="E236" t="s">
        <v>22</v>
      </c>
      <c r="F236">
        <v>125</v>
      </c>
      <c r="G236" s="2">
        <v>24.8</v>
      </c>
      <c r="H236" s="2">
        <v>84.6</v>
      </c>
      <c r="I236" s="2">
        <v>7</v>
      </c>
      <c r="J236" t="s">
        <v>34</v>
      </c>
      <c r="K236" s="2">
        <v>59.8</v>
      </c>
      <c r="L236" s="3">
        <v>241.1</v>
      </c>
    </row>
    <row r="237" spans="1:12" x14ac:dyDescent="0.3">
      <c r="A237">
        <v>236</v>
      </c>
      <c r="B237" t="s">
        <v>281</v>
      </c>
      <c r="C237">
        <v>2021</v>
      </c>
      <c r="D237" t="s">
        <v>45</v>
      </c>
      <c r="E237" t="s">
        <v>22</v>
      </c>
      <c r="F237">
        <v>116</v>
      </c>
      <c r="G237" s="2">
        <v>34.1</v>
      </c>
      <c r="H237" s="2">
        <v>151.9</v>
      </c>
      <c r="I237" s="2">
        <v>8.1</v>
      </c>
      <c r="J237" t="s">
        <v>31</v>
      </c>
      <c r="K237" s="2">
        <v>117.8</v>
      </c>
      <c r="L237" s="3">
        <v>345.5</v>
      </c>
    </row>
    <row r="238" spans="1:12" x14ac:dyDescent="0.3">
      <c r="A238">
        <v>237</v>
      </c>
      <c r="B238" t="s">
        <v>282</v>
      </c>
      <c r="C238">
        <v>2010</v>
      </c>
      <c r="D238" t="s">
        <v>45</v>
      </c>
      <c r="E238" t="s">
        <v>22</v>
      </c>
      <c r="F238">
        <v>134</v>
      </c>
      <c r="G238" s="2">
        <v>36.4</v>
      </c>
      <c r="H238" s="2">
        <v>30.1</v>
      </c>
      <c r="I238" s="2">
        <v>6.6</v>
      </c>
      <c r="J238" t="s">
        <v>51</v>
      </c>
      <c r="K238" s="2">
        <v>-6.3</v>
      </c>
      <c r="L238" s="3">
        <v>-17.3</v>
      </c>
    </row>
    <row r="239" spans="1:12" x14ac:dyDescent="0.3">
      <c r="A239">
        <v>238</v>
      </c>
      <c r="B239" t="s">
        <v>283</v>
      </c>
      <c r="C239">
        <v>2024</v>
      </c>
      <c r="D239" t="s">
        <v>13</v>
      </c>
      <c r="E239" t="s">
        <v>14</v>
      </c>
      <c r="F239">
        <v>93</v>
      </c>
      <c r="G239" s="2">
        <v>80.5</v>
      </c>
      <c r="H239" s="2">
        <v>344</v>
      </c>
      <c r="I239" s="2">
        <v>6.7</v>
      </c>
      <c r="J239" t="s">
        <v>15</v>
      </c>
      <c r="K239" s="2">
        <v>263.5</v>
      </c>
      <c r="L239" s="3">
        <v>327.3</v>
      </c>
    </row>
    <row r="240" spans="1:12" x14ac:dyDescent="0.3">
      <c r="A240">
        <v>239</v>
      </c>
      <c r="B240" t="s">
        <v>284</v>
      </c>
      <c r="C240">
        <v>1991</v>
      </c>
      <c r="D240" t="s">
        <v>47</v>
      </c>
      <c r="E240" t="s">
        <v>22</v>
      </c>
      <c r="F240">
        <v>143</v>
      </c>
      <c r="G240" s="2">
        <v>42.5</v>
      </c>
      <c r="H240" s="2">
        <v>237.9</v>
      </c>
      <c r="I240" s="2">
        <v>5.6</v>
      </c>
      <c r="J240" t="s">
        <v>91</v>
      </c>
      <c r="K240" s="2">
        <v>195.4</v>
      </c>
      <c r="L240" s="3">
        <v>459.8</v>
      </c>
    </row>
    <row r="241" spans="1:12" x14ac:dyDescent="0.3">
      <c r="A241">
        <v>240</v>
      </c>
      <c r="B241" t="s">
        <v>285</v>
      </c>
      <c r="C241">
        <v>2017</v>
      </c>
      <c r="D241" t="s">
        <v>47</v>
      </c>
      <c r="E241" t="s">
        <v>22</v>
      </c>
      <c r="F241">
        <v>129</v>
      </c>
      <c r="G241" s="2">
        <v>123.6</v>
      </c>
      <c r="H241" s="2">
        <v>590.4</v>
      </c>
      <c r="I241" s="2">
        <v>6.9</v>
      </c>
      <c r="J241" t="s">
        <v>91</v>
      </c>
      <c r="K241" s="2">
        <v>466.8</v>
      </c>
      <c r="L241" s="3">
        <v>377.7</v>
      </c>
    </row>
    <row r="242" spans="1:12" x14ac:dyDescent="0.3">
      <c r="A242">
        <v>241</v>
      </c>
      <c r="B242" t="s">
        <v>286</v>
      </c>
      <c r="C242">
        <v>2007</v>
      </c>
      <c r="D242" t="s">
        <v>36</v>
      </c>
      <c r="E242" t="s">
        <v>30</v>
      </c>
      <c r="F242">
        <v>122</v>
      </c>
      <c r="G242" s="2">
        <v>162.9</v>
      </c>
      <c r="H242" s="2">
        <v>661.8</v>
      </c>
      <c r="I242" s="2">
        <v>6.3</v>
      </c>
      <c r="J242" t="s">
        <v>57</v>
      </c>
      <c r="K242" s="2">
        <v>498.9</v>
      </c>
      <c r="L242" s="3">
        <v>306.3</v>
      </c>
    </row>
    <row r="243" spans="1:12" x14ac:dyDescent="0.3">
      <c r="A243">
        <v>242</v>
      </c>
      <c r="B243" t="s">
        <v>287</v>
      </c>
      <c r="C243">
        <v>2005</v>
      </c>
      <c r="D243" t="s">
        <v>25</v>
      </c>
      <c r="E243" t="s">
        <v>22</v>
      </c>
      <c r="F243">
        <v>133</v>
      </c>
      <c r="G243" s="2">
        <v>48.1</v>
      </c>
      <c r="H243" s="2">
        <v>206.4</v>
      </c>
      <c r="I243" s="2">
        <v>7.6</v>
      </c>
      <c r="J243" t="s">
        <v>28</v>
      </c>
      <c r="K243" s="2">
        <v>158.30000000000001</v>
      </c>
      <c r="L243" s="3">
        <v>329.1</v>
      </c>
    </row>
    <row r="244" spans="1:12" x14ac:dyDescent="0.3">
      <c r="A244">
        <v>243</v>
      </c>
      <c r="B244" t="s">
        <v>288</v>
      </c>
      <c r="C244">
        <v>2012</v>
      </c>
      <c r="D244" t="s">
        <v>25</v>
      </c>
      <c r="E244" t="s">
        <v>22</v>
      </c>
      <c r="F244">
        <v>76</v>
      </c>
      <c r="G244" s="2">
        <v>71.400000000000006</v>
      </c>
      <c r="H244" s="2">
        <v>101.8</v>
      </c>
      <c r="I244" s="2">
        <v>7.6</v>
      </c>
      <c r="J244" t="s">
        <v>79</v>
      </c>
      <c r="K244" s="2">
        <v>30.4</v>
      </c>
      <c r="L244" s="3">
        <v>42.6</v>
      </c>
    </row>
    <row r="245" spans="1:12" x14ac:dyDescent="0.3">
      <c r="A245">
        <v>244</v>
      </c>
      <c r="B245" t="s">
        <v>289</v>
      </c>
      <c r="C245">
        <v>2001</v>
      </c>
      <c r="D245" t="s">
        <v>13</v>
      </c>
      <c r="E245" t="s">
        <v>18</v>
      </c>
      <c r="F245">
        <v>129</v>
      </c>
      <c r="G245" s="2">
        <v>22.9</v>
      </c>
      <c r="H245" s="2">
        <v>7.7</v>
      </c>
      <c r="I245" s="2">
        <v>7.4</v>
      </c>
      <c r="J245" t="s">
        <v>75</v>
      </c>
      <c r="K245" s="2">
        <v>-15.2</v>
      </c>
      <c r="L245" s="3">
        <v>-66.400000000000006</v>
      </c>
    </row>
    <row r="246" spans="1:12" x14ac:dyDescent="0.3">
      <c r="A246">
        <v>245</v>
      </c>
      <c r="B246" t="s">
        <v>290</v>
      </c>
      <c r="C246">
        <v>2016</v>
      </c>
      <c r="D246" t="s">
        <v>65</v>
      </c>
      <c r="E246" t="s">
        <v>22</v>
      </c>
      <c r="F246">
        <v>101</v>
      </c>
      <c r="G246" s="2">
        <v>51.8</v>
      </c>
      <c r="H246" s="2">
        <v>90.7</v>
      </c>
      <c r="I246" s="2">
        <v>7</v>
      </c>
      <c r="J246" t="s">
        <v>31</v>
      </c>
      <c r="K246" s="2">
        <v>38.9</v>
      </c>
      <c r="L246" s="3">
        <v>75.099999999999994</v>
      </c>
    </row>
    <row r="247" spans="1:12" x14ac:dyDescent="0.3">
      <c r="A247">
        <v>246</v>
      </c>
      <c r="B247" t="s">
        <v>291</v>
      </c>
      <c r="C247">
        <v>2014</v>
      </c>
      <c r="D247" t="s">
        <v>65</v>
      </c>
      <c r="E247" t="s">
        <v>22</v>
      </c>
      <c r="F247">
        <v>160</v>
      </c>
      <c r="G247" s="2">
        <v>110.7</v>
      </c>
      <c r="H247" s="2">
        <v>151.69999999999999</v>
      </c>
      <c r="I247" s="2">
        <v>6.7</v>
      </c>
      <c r="J247" t="s">
        <v>51</v>
      </c>
      <c r="K247" s="2">
        <v>41</v>
      </c>
      <c r="L247" s="3">
        <v>37</v>
      </c>
    </row>
    <row r="248" spans="1:12" x14ac:dyDescent="0.3">
      <c r="A248">
        <v>247</v>
      </c>
      <c r="B248" t="s">
        <v>292</v>
      </c>
      <c r="C248">
        <v>1992</v>
      </c>
      <c r="D248" t="s">
        <v>36</v>
      </c>
      <c r="E248" t="s">
        <v>18</v>
      </c>
      <c r="F248">
        <v>147</v>
      </c>
      <c r="G248" s="2">
        <v>8.1</v>
      </c>
      <c r="H248" s="2">
        <v>9</v>
      </c>
      <c r="I248" s="2">
        <v>7.4</v>
      </c>
      <c r="J248" t="s">
        <v>19</v>
      </c>
      <c r="K248" s="2">
        <v>0.9</v>
      </c>
      <c r="L248" s="3">
        <v>11.1</v>
      </c>
    </row>
    <row r="249" spans="1:12" x14ac:dyDescent="0.3">
      <c r="A249">
        <v>248</v>
      </c>
      <c r="B249" t="s">
        <v>293</v>
      </c>
      <c r="C249">
        <v>2006</v>
      </c>
      <c r="D249" t="s">
        <v>13</v>
      </c>
      <c r="E249" t="s">
        <v>22</v>
      </c>
      <c r="F249">
        <v>170</v>
      </c>
      <c r="G249" s="2">
        <v>121.1</v>
      </c>
      <c r="H249" s="2">
        <v>89.3</v>
      </c>
      <c r="I249" s="2">
        <v>6.6</v>
      </c>
      <c r="J249" t="s">
        <v>28</v>
      </c>
      <c r="K249" s="2">
        <v>-31.8</v>
      </c>
      <c r="L249" s="3">
        <v>-26.3</v>
      </c>
    </row>
    <row r="250" spans="1:12" x14ac:dyDescent="0.3">
      <c r="A250">
        <v>249</v>
      </c>
      <c r="B250" t="s">
        <v>294</v>
      </c>
      <c r="C250">
        <v>2003</v>
      </c>
      <c r="D250" t="s">
        <v>36</v>
      </c>
      <c r="E250" t="s">
        <v>22</v>
      </c>
      <c r="F250">
        <v>95</v>
      </c>
      <c r="G250" s="2">
        <v>25</v>
      </c>
      <c r="H250" s="2">
        <v>102.5</v>
      </c>
      <c r="I250" s="2">
        <v>7.6</v>
      </c>
      <c r="J250" t="s">
        <v>31</v>
      </c>
      <c r="K250" s="2">
        <v>77.5</v>
      </c>
      <c r="L250" s="3">
        <v>310</v>
      </c>
    </row>
    <row r="251" spans="1:12" x14ac:dyDescent="0.3">
      <c r="A251">
        <v>250</v>
      </c>
      <c r="B251" t="s">
        <v>295</v>
      </c>
      <c r="C251">
        <v>2019</v>
      </c>
      <c r="D251" t="s">
        <v>65</v>
      </c>
      <c r="E251" t="s">
        <v>22</v>
      </c>
      <c r="F251">
        <v>181</v>
      </c>
      <c r="G251" s="2">
        <v>262.39999999999998</v>
      </c>
      <c r="H251" s="2">
        <v>326.60000000000002</v>
      </c>
      <c r="I251" s="2">
        <v>7.9</v>
      </c>
      <c r="J251" t="s">
        <v>34</v>
      </c>
      <c r="K251" s="2">
        <v>64.2</v>
      </c>
      <c r="L251" s="3">
        <v>24.5</v>
      </c>
    </row>
    <row r="252" spans="1:12" x14ac:dyDescent="0.3">
      <c r="A252">
        <v>251</v>
      </c>
      <c r="B252" t="s">
        <v>296</v>
      </c>
      <c r="C252">
        <v>1992</v>
      </c>
      <c r="D252" t="s">
        <v>27</v>
      </c>
      <c r="E252" t="s">
        <v>18</v>
      </c>
      <c r="F252">
        <v>149</v>
      </c>
      <c r="G252" s="2">
        <v>17.5</v>
      </c>
      <c r="H252" s="2">
        <v>67.2</v>
      </c>
      <c r="I252" s="2">
        <v>7.7</v>
      </c>
      <c r="J252" t="s">
        <v>19</v>
      </c>
      <c r="K252" s="2">
        <v>49.7</v>
      </c>
      <c r="L252" s="3">
        <v>284</v>
      </c>
    </row>
    <row r="253" spans="1:12" x14ac:dyDescent="0.3">
      <c r="A253">
        <v>252</v>
      </c>
      <c r="B253" t="s">
        <v>297</v>
      </c>
      <c r="C253">
        <v>2001</v>
      </c>
      <c r="D253" t="s">
        <v>53</v>
      </c>
      <c r="E253" t="s">
        <v>22</v>
      </c>
      <c r="F253">
        <v>192</v>
      </c>
      <c r="G253" s="2">
        <v>31</v>
      </c>
      <c r="H253" s="2">
        <v>31.6</v>
      </c>
      <c r="I253" s="2">
        <v>6.7</v>
      </c>
      <c r="J253" t="s">
        <v>91</v>
      </c>
      <c r="K253" s="2">
        <v>0.6</v>
      </c>
      <c r="L253" s="3">
        <v>1.9</v>
      </c>
    </row>
    <row r="254" spans="1:12" x14ac:dyDescent="0.3">
      <c r="A254">
        <v>253</v>
      </c>
      <c r="B254" t="s">
        <v>298</v>
      </c>
      <c r="C254">
        <v>2010</v>
      </c>
      <c r="D254" t="s">
        <v>45</v>
      </c>
      <c r="E254" t="s">
        <v>127</v>
      </c>
      <c r="F254">
        <v>100</v>
      </c>
      <c r="G254" s="2">
        <v>66.5</v>
      </c>
      <c r="H254" s="2">
        <v>133.5</v>
      </c>
      <c r="I254" s="2">
        <v>9.1</v>
      </c>
      <c r="J254" t="s">
        <v>37</v>
      </c>
      <c r="K254" s="2">
        <v>67</v>
      </c>
      <c r="L254" s="3">
        <v>100.8</v>
      </c>
    </row>
    <row r="255" spans="1:12" x14ac:dyDescent="0.3">
      <c r="A255">
        <v>254</v>
      </c>
      <c r="B255" t="s">
        <v>299</v>
      </c>
      <c r="C255">
        <v>1991</v>
      </c>
      <c r="D255" t="s">
        <v>13</v>
      </c>
      <c r="E255" t="s">
        <v>22</v>
      </c>
      <c r="F255">
        <v>120</v>
      </c>
      <c r="G255" s="2">
        <v>362.3</v>
      </c>
      <c r="H255" s="2">
        <v>262.5</v>
      </c>
      <c r="I255" s="2">
        <v>7.2</v>
      </c>
      <c r="J255" t="s">
        <v>91</v>
      </c>
      <c r="K255" s="2">
        <v>-99.8</v>
      </c>
      <c r="L255" s="3">
        <v>-27.5</v>
      </c>
    </row>
    <row r="256" spans="1:12" x14ac:dyDescent="0.3">
      <c r="A256">
        <v>255</v>
      </c>
      <c r="B256" t="s">
        <v>300</v>
      </c>
      <c r="C256">
        <v>2014</v>
      </c>
      <c r="D256" t="s">
        <v>25</v>
      </c>
      <c r="E256" t="s">
        <v>22</v>
      </c>
      <c r="F256">
        <v>119</v>
      </c>
      <c r="G256" s="2">
        <v>13.8</v>
      </c>
      <c r="H256" s="2">
        <v>18.600000000000001</v>
      </c>
      <c r="I256" s="2">
        <v>5.7</v>
      </c>
      <c r="J256" t="s">
        <v>51</v>
      </c>
      <c r="K256" s="2">
        <v>4.8</v>
      </c>
      <c r="L256" s="3">
        <v>34.799999999999997</v>
      </c>
    </row>
    <row r="257" spans="1:12" x14ac:dyDescent="0.3">
      <c r="A257">
        <v>256</v>
      </c>
      <c r="B257" t="s">
        <v>301</v>
      </c>
      <c r="C257">
        <v>2002</v>
      </c>
      <c r="D257" t="s">
        <v>17</v>
      </c>
      <c r="E257" t="s">
        <v>18</v>
      </c>
      <c r="F257">
        <v>144</v>
      </c>
      <c r="G257" s="2">
        <v>8.3000000000000007</v>
      </c>
      <c r="H257" s="2">
        <v>17.100000000000001</v>
      </c>
      <c r="I257" s="2">
        <v>7.8</v>
      </c>
      <c r="J257" t="s">
        <v>59</v>
      </c>
      <c r="K257" s="2">
        <v>8.8000000000000007</v>
      </c>
      <c r="L257" s="3">
        <v>106</v>
      </c>
    </row>
    <row r="258" spans="1:12" x14ac:dyDescent="0.3">
      <c r="A258">
        <v>257</v>
      </c>
      <c r="B258" t="s">
        <v>302</v>
      </c>
      <c r="C258">
        <v>1998</v>
      </c>
      <c r="D258" t="s">
        <v>47</v>
      </c>
      <c r="E258" t="s">
        <v>22</v>
      </c>
      <c r="F258">
        <v>117</v>
      </c>
      <c r="G258" s="2">
        <v>35.799999999999997</v>
      </c>
      <c r="H258" s="2">
        <v>122.4</v>
      </c>
      <c r="I258" s="2">
        <v>7.1</v>
      </c>
      <c r="J258" t="s">
        <v>91</v>
      </c>
      <c r="K258" s="2">
        <v>86.6</v>
      </c>
      <c r="L258" s="3">
        <v>241.9</v>
      </c>
    </row>
    <row r="259" spans="1:12" x14ac:dyDescent="0.3">
      <c r="A259">
        <v>258</v>
      </c>
      <c r="B259" t="s">
        <v>303</v>
      </c>
      <c r="C259">
        <v>2000</v>
      </c>
      <c r="D259" t="s">
        <v>25</v>
      </c>
      <c r="E259" t="s">
        <v>22</v>
      </c>
      <c r="F259">
        <v>151</v>
      </c>
      <c r="G259" s="2">
        <v>197.3</v>
      </c>
      <c r="H259" s="2">
        <v>887.8</v>
      </c>
      <c r="I259" s="2">
        <v>6.5</v>
      </c>
      <c r="J259" t="s">
        <v>57</v>
      </c>
      <c r="K259" s="2">
        <v>690.5</v>
      </c>
      <c r="L259" s="3">
        <v>350</v>
      </c>
    </row>
    <row r="260" spans="1:12" x14ac:dyDescent="0.3">
      <c r="A260">
        <v>259</v>
      </c>
      <c r="B260" t="s">
        <v>304</v>
      </c>
      <c r="C260">
        <v>2001</v>
      </c>
      <c r="D260" t="s">
        <v>45</v>
      </c>
      <c r="E260" t="s">
        <v>22</v>
      </c>
      <c r="F260">
        <v>128</v>
      </c>
      <c r="G260" s="2">
        <v>41</v>
      </c>
      <c r="H260" s="2">
        <v>132.5</v>
      </c>
      <c r="I260" s="2">
        <v>6.9</v>
      </c>
      <c r="J260" t="s">
        <v>79</v>
      </c>
      <c r="K260" s="2">
        <v>91.5</v>
      </c>
      <c r="L260" s="3">
        <v>223.2</v>
      </c>
    </row>
    <row r="261" spans="1:12" x14ac:dyDescent="0.3">
      <c r="A261">
        <v>260</v>
      </c>
      <c r="B261" t="s">
        <v>305</v>
      </c>
      <c r="C261">
        <v>2025</v>
      </c>
      <c r="D261" t="s">
        <v>65</v>
      </c>
      <c r="E261" t="s">
        <v>22</v>
      </c>
      <c r="F261">
        <v>102</v>
      </c>
      <c r="G261" s="2">
        <v>58.9</v>
      </c>
      <c r="H261" s="2">
        <v>41.4</v>
      </c>
      <c r="I261" s="2">
        <v>7.2</v>
      </c>
      <c r="J261" t="s">
        <v>28</v>
      </c>
      <c r="K261" s="2">
        <v>-17.5</v>
      </c>
      <c r="L261" s="3">
        <v>-29.7</v>
      </c>
    </row>
    <row r="262" spans="1:12" x14ac:dyDescent="0.3">
      <c r="A262">
        <v>261</v>
      </c>
      <c r="B262" t="s">
        <v>306</v>
      </c>
      <c r="C262">
        <v>2004</v>
      </c>
      <c r="D262" t="s">
        <v>36</v>
      </c>
      <c r="E262" t="s">
        <v>22</v>
      </c>
      <c r="F262">
        <v>145</v>
      </c>
      <c r="G262" s="2">
        <v>81.7</v>
      </c>
      <c r="H262" s="2">
        <v>217.3</v>
      </c>
      <c r="I262" s="2">
        <v>6.1</v>
      </c>
      <c r="J262" t="s">
        <v>91</v>
      </c>
      <c r="K262" s="2">
        <v>135.6</v>
      </c>
      <c r="L262" s="3">
        <v>166</v>
      </c>
    </row>
    <row r="263" spans="1:12" x14ac:dyDescent="0.3">
      <c r="A263">
        <v>262</v>
      </c>
      <c r="B263" t="s">
        <v>307</v>
      </c>
      <c r="C263">
        <v>1998</v>
      </c>
      <c r="D263" t="s">
        <v>17</v>
      </c>
      <c r="E263" t="s">
        <v>39</v>
      </c>
      <c r="F263">
        <v>125</v>
      </c>
      <c r="G263" s="2">
        <v>27.6</v>
      </c>
      <c r="H263" s="2">
        <v>14</v>
      </c>
      <c r="I263" s="2">
        <v>7.2</v>
      </c>
      <c r="J263" t="s">
        <v>40</v>
      </c>
      <c r="K263" s="2">
        <v>-13.6</v>
      </c>
      <c r="L263" s="3">
        <v>-49.3</v>
      </c>
    </row>
    <row r="264" spans="1:12" x14ac:dyDescent="0.3">
      <c r="A264">
        <v>263</v>
      </c>
      <c r="B264" t="s">
        <v>308</v>
      </c>
      <c r="C264">
        <v>2001</v>
      </c>
      <c r="D264" t="s">
        <v>65</v>
      </c>
      <c r="E264" t="s">
        <v>22</v>
      </c>
      <c r="F264">
        <v>120</v>
      </c>
      <c r="G264" s="2">
        <v>21.3</v>
      </c>
      <c r="H264" s="2">
        <v>64.400000000000006</v>
      </c>
      <c r="I264" s="2">
        <v>6.9</v>
      </c>
      <c r="J264" t="s">
        <v>79</v>
      </c>
      <c r="K264" s="2">
        <v>43.1</v>
      </c>
      <c r="L264" s="3">
        <v>202.3</v>
      </c>
    </row>
    <row r="265" spans="1:12" x14ac:dyDescent="0.3">
      <c r="A265">
        <v>264</v>
      </c>
      <c r="B265" t="s">
        <v>309</v>
      </c>
      <c r="C265">
        <v>2007</v>
      </c>
      <c r="D265" t="s">
        <v>65</v>
      </c>
      <c r="E265" t="s">
        <v>22</v>
      </c>
      <c r="F265">
        <v>108</v>
      </c>
      <c r="G265" s="2">
        <v>137.69999999999999</v>
      </c>
      <c r="H265" s="2">
        <v>255.6</v>
      </c>
      <c r="I265" s="2">
        <v>6.5</v>
      </c>
      <c r="J265" t="s">
        <v>91</v>
      </c>
      <c r="K265" s="2">
        <v>117.9</v>
      </c>
      <c r="L265" s="3">
        <v>85.6</v>
      </c>
    </row>
    <row r="266" spans="1:12" x14ac:dyDescent="0.3">
      <c r="A266">
        <v>265</v>
      </c>
      <c r="B266" t="s">
        <v>310</v>
      </c>
      <c r="C266">
        <v>2023</v>
      </c>
      <c r="D266" t="s">
        <v>65</v>
      </c>
      <c r="E266" t="s">
        <v>22</v>
      </c>
      <c r="F266">
        <v>79</v>
      </c>
      <c r="G266" s="2">
        <v>38.6</v>
      </c>
      <c r="H266" s="2">
        <v>88.2</v>
      </c>
      <c r="I266" s="2">
        <v>8.3000000000000007</v>
      </c>
      <c r="J266" t="s">
        <v>91</v>
      </c>
      <c r="K266" s="2">
        <v>49.6</v>
      </c>
      <c r="L266" s="3">
        <v>128.5</v>
      </c>
    </row>
    <row r="267" spans="1:12" x14ac:dyDescent="0.3">
      <c r="A267">
        <v>266</v>
      </c>
      <c r="B267" t="s">
        <v>311</v>
      </c>
      <c r="C267">
        <v>2025</v>
      </c>
      <c r="D267" t="s">
        <v>65</v>
      </c>
      <c r="E267" t="s">
        <v>22</v>
      </c>
      <c r="F267">
        <v>83</v>
      </c>
      <c r="G267" s="2">
        <v>53.8</v>
      </c>
      <c r="H267" s="2">
        <v>48.4</v>
      </c>
      <c r="I267" s="2">
        <v>6</v>
      </c>
      <c r="J267" t="s">
        <v>34</v>
      </c>
      <c r="K267" s="2">
        <v>-5.4</v>
      </c>
      <c r="L267" s="3">
        <v>-10</v>
      </c>
    </row>
    <row r="268" spans="1:12" x14ac:dyDescent="0.3">
      <c r="A268">
        <v>267</v>
      </c>
      <c r="B268" t="s">
        <v>312</v>
      </c>
      <c r="C268">
        <v>1990</v>
      </c>
      <c r="D268" t="s">
        <v>65</v>
      </c>
      <c r="E268" t="s">
        <v>22</v>
      </c>
      <c r="F268">
        <v>157</v>
      </c>
      <c r="G268" s="2">
        <v>185.1</v>
      </c>
      <c r="H268" s="2">
        <v>281.89999999999998</v>
      </c>
      <c r="I268" s="2">
        <v>7</v>
      </c>
      <c r="J268" t="s">
        <v>79</v>
      </c>
      <c r="K268" s="2">
        <v>96.8</v>
      </c>
      <c r="L268" s="3">
        <v>52.3</v>
      </c>
    </row>
    <row r="269" spans="1:12" x14ac:dyDescent="0.3">
      <c r="A269">
        <v>268</v>
      </c>
      <c r="B269" t="s">
        <v>313</v>
      </c>
      <c r="C269">
        <v>1994</v>
      </c>
      <c r="D269" t="s">
        <v>17</v>
      </c>
      <c r="E269" t="s">
        <v>30</v>
      </c>
      <c r="F269">
        <v>107</v>
      </c>
      <c r="G269" s="2">
        <v>66.400000000000006</v>
      </c>
      <c r="H269" s="2">
        <v>74.5</v>
      </c>
      <c r="I269" s="2">
        <v>7.5</v>
      </c>
      <c r="J269" t="s">
        <v>57</v>
      </c>
      <c r="K269" s="2">
        <v>8.1</v>
      </c>
      <c r="L269" s="3">
        <v>12.2</v>
      </c>
    </row>
    <row r="270" spans="1:12" x14ac:dyDescent="0.3">
      <c r="A270">
        <v>269</v>
      </c>
      <c r="B270" t="s">
        <v>314</v>
      </c>
      <c r="C270">
        <v>2015</v>
      </c>
      <c r="D270" t="s">
        <v>25</v>
      </c>
      <c r="E270" t="s">
        <v>22</v>
      </c>
      <c r="F270">
        <v>84</v>
      </c>
      <c r="G270" s="2">
        <v>33.1</v>
      </c>
      <c r="H270" s="2">
        <v>37.200000000000003</v>
      </c>
      <c r="I270" s="2">
        <v>6.1</v>
      </c>
      <c r="J270" t="s">
        <v>79</v>
      </c>
      <c r="K270" s="2">
        <v>4.0999999999999996</v>
      </c>
      <c r="L270" s="3">
        <v>12.4</v>
      </c>
    </row>
    <row r="271" spans="1:12" x14ac:dyDescent="0.3">
      <c r="A271">
        <v>270</v>
      </c>
      <c r="B271" t="s">
        <v>315</v>
      </c>
      <c r="C271">
        <v>2024</v>
      </c>
      <c r="D271" t="s">
        <v>47</v>
      </c>
      <c r="E271" t="s">
        <v>66</v>
      </c>
      <c r="F271">
        <v>124</v>
      </c>
      <c r="G271" s="2">
        <v>20.5</v>
      </c>
      <c r="H271" s="2">
        <v>50</v>
      </c>
      <c r="I271" s="2">
        <v>5.8</v>
      </c>
      <c r="J271" t="s">
        <v>91</v>
      </c>
      <c r="K271" s="2">
        <v>29.5</v>
      </c>
      <c r="L271" s="3">
        <v>143.9</v>
      </c>
    </row>
    <row r="272" spans="1:12" x14ac:dyDescent="0.3">
      <c r="A272">
        <v>271</v>
      </c>
      <c r="B272" t="s">
        <v>316</v>
      </c>
      <c r="C272">
        <v>1993</v>
      </c>
      <c r="D272" t="s">
        <v>21</v>
      </c>
      <c r="E272" t="s">
        <v>22</v>
      </c>
      <c r="F272">
        <v>112</v>
      </c>
      <c r="G272" s="2">
        <v>39.1</v>
      </c>
      <c r="H272" s="2">
        <v>179.9</v>
      </c>
      <c r="I272" s="2">
        <v>8.1</v>
      </c>
      <c r="J272" t="s">
        <v>34</v>
      </c>
      <c r="K272" s="2">
        <v>140.80000000000001</v>
      </c>
      <c r="L272" s="3">
        <v>360.1</v>
      </c>
    </row>
    <row r="273" spans="1:12" x14ac:dyDescent="0.3">
      <c r="A273">
        <v>272</v>
      </c>
      <c r="B273" t="s">
        <v>317</v>
      </c>
      <c r="C273">
        <v>2010</v>
      </c>
      <c r="D273" t="s">
        <v>65</v>
      </c>
      <c r="E273" t="s">
        <v>22</v>
      </c>
      <c r="F273">
        <v>113</v>
      </c>
      <c r="G273" s="2">
        <v>25.6</v>
      </c>
      <c r="H273" s="2">
        <v>58.5</v>
      </c>
      <c r="I273" s="2">
        <v>7.2</v>
      </c>
      <c r="J273" t="s">
        <v>37</v>
      </c>
      <c r="K273" s="2">
        <v>32.9</v>
      </c>
      <c r="L273" s="3">
        <v>128.5</v>
      </c>
    </row>
    <row r="274" spans="1:12" x14ac:dyDescent="0.3">
      <c r="A274">
        <v>273</v>
      </c>
      <c r="B274" t="s">
        <v>318</v>
      </c>
      <c r="C274">
        <v>2024</v>
      </c>
      <c r="D274" t="s">
        <v>25</v>
      </c>
      <c r="E274" t="s">
        <v>18</v>
      </c>
      <c r="F274">
        <v>152</v>
      </c>
      <c r="G274" s="2">
        <v>52.1</v>
      </c>
      <c r="H274" s="2">
        <v>128.9</v>
      </c>
      <c r="I274" s="2">
        <v>6.7</v>
      </c>
      <c r="J274" t="s">
        <v>48</v>
      </c>
      <c r="K274" s="2">
        <v>76.8</v>
      </c>
      <c r="L274" s="3">
        <v>147.4</v>
      </c>
    </row>
    <row r="275" spans="1:12" x14ac:dyDescent="0.3">
      <c r="A275">
        <v>274</v>
      </c>
      <c r="B275" t="s">
        <v>319</v>
      </c>
      <c r="C275">
        <v>2017</v>
      </c>
      <c r="D275" t="s">
        <v>47</v>
      </c>
      <c r="E275" t="s">
        <v>39</v>
      </c>
      <c r="F275">
        <v>93</v>
      </c>
      <c r="G275" s="2">
        <v>18.3</v>
      </c>
      <c r="H275" s="2">
        <v>57.3</v>
      </c>
      <c r="I275" s="2">
        <v>8.1</v>
      </c>
      <c r="J275" t="s">
        <v>91</v>
      </c>
      <c r="K275" s="2">
        <v>39</v>
      </c>
      <c r="L275" s="3">
        <v>213.1</v>
      </c>
    </row>
    <row r="276" spans="1:12" x14ac:dyDescent="0.3">
      <c r="A276">
        <v>275</v>
      </c>
      <c r="B276" t="s">
        <v>320</v>
      </c>
      <c r="C276">
        <v>2010</v>
      </c>
      <c r="D276" t="s">
        <v>36</v>
      </c>
      <c r="E276" t="s">
        <v>22</v>
      </c>
      <c r="F276">
        <v>108</v>
      </c>
      <c r="G276" s="2">
        <v>125.1</v>
      </c>
      <c r="H276" s="2">
        <v>461.2</v>
      </c>
      <c r="I276" s="2">
        <v>7.4</v>
      </c>
      <c r="J276" t="s">
        <v>40</v>
      </c>
      <c r="K276" s="2">
        <v>336.1</v>
      </c>
      <c r="L276" s="3">
        <v>268.7</v>
      </c>
    </row>
    <row r="277" spans="1:12" x14ac:dyDescent="0.3">
      <c r="A277">
        <v>276</v>
      </c>
      <c r="B277" t="s">
        <v>321</v>
      </c>
      <c r="C277">
        <v>2021</v>
      </c>
      <c r="D277" t="s">
        <v>27</v>
      </c>
      <c r="E277" t="s">
        <v>22</v>
      </c>
      <c r="F277">
        <v>124</v>
      </c>
      <c r="G277" s="2">
        <v>33</v>
      </c>
      <c r="H277" s="2">
        <v>148.30000000000001</v>
      </c>
      <c r="I277" s="2">
        <v>6.5</v>
      </c>
      <c r="J277" t="s">
        <v>31</v>
      </c>
      <c r="K277" s="2">
        <v>115.3</v>
      </c>
      <c r="L277" s="3">
        <v>349.4</v>
      </c>
    </row>
    <row r="278" spans="1:12" x14ac:dyDescent="0.3">
      <c r="A278">
        <v>277</v>
      </c>
      <c r="B278" t="s">
        <v>322</v>
      </c>
      <c r="C278">
        <v>2004</v>
      </c>
      <c r="D278" t="s">
        <v>17</v>
      </c>
      <c r="E278" t="s">
        <v>18</v>
      </c>
      <c r="F278">
        <v>154</v>
      </c>
      <c r="G278" s="2">
        <v>9.3000000000000007</v>
      </c>
      <c r="H278" s="2">
        <v>29.5</v>
      </c>
      <c r="I278" s="2">
        <v>7.6</v>
      </c>
      <c r="J278" t="s">
        <v>19</v>
      </c>
      <c r="K278" s="2">
        <v>20.2</v>
      </c>
      <c r="L278" s="3">
        <v>217.2</v>
      </c>
    </row>
    <row r="279" spans="1:12" x14ac:dyDescent="0.3">
      <c r="A279">
        <v>278</v>
      </c>
      <c r="B279" t="s">
        <v>323</v>
      </c>
      <c r="C279">
        <v>1998</v>
      </c>
      <c r="D279" t="s">
        <v>25</v>
      </c>
      <c r="E279" t="s">
        <v>22</v>
      </c>
      <c r="F279">
        <v>127</v>
      </c>
      <c r="G279" s="2">
        <v>101.4</v>
      </c>
      <c r="H279" s="2">
        <v>337.3</v>
      </c>
      <c r="I279" s="2">
        <v>4.5</v>
      </c>
      <c r="J279" t="s">
        <v>57</v>
      </c>
      <c r="K279" s="2">
        <v>235.9</v>
      </c>
      <c r="L279" s="3">
        <v>232.6</v>
      </c>
    </row>
    <row r="280" spans="1:12" x14ac:dyDescent="0.3">
      <c r="A280">
        <v>279</v>
      </c>
      <c r="B280" t="s">
        <v>324</v>
      </c>
      <c r="C280">
        <v>2020</v>
      </c>
      <c r="D280" t="s">
        <v>36</v>
      </c>
      <c r="E280" t="s">
        <v>30</v>
      </c>
      <c r="F280">
        <v>105</v>
      </c>
      <c r="G280" s="2">
        <v>88.2</v>
      </c>
      <c r="H280" s="2">
        <v>137.1</v>
      </c>
      <c r="I280" s="2">
        <v>8.1</v>
      </c>
      <c r="J280" t="s">
        <v>23</v>
      </c>
      <c r="K280" s="2">
        <v>48.9</v>
      </c>
      <c r="L280" s="3">
        <v>55.4</v>
      </c>
    </row>
    <row r="281" spans="1:12" x14ac:dyDescent="0.3">
      <c r="A281">
        <v>280</v>
      </c>
      <c r="B281" t="s">
        <v>325</v>
      </c>
      <c r="C281">
        <v>2013</v>
      </c>
      <c r="D281" t="s">
        <v>36</v>
      </c>
      <c r="E281" t="s">
        <v>22</v>
      </c>
      <c r="F281">
        <v>111</v>
      </c>
      <c r="G281" s="2">
        <v>43.5</v>
      </c>
      <c r="H281" s="2">
        <v>21.9</v>
      </c>
      <c r="I281" s="2">
        <v>7.9</v>
      </c>
      <c r="J281" t="s">
        <v>23</v>
      </c>
      <c r="K281" s="2">
        <v>-21.6</v>
      </c>
      <c r="L281" s="3">
        <v>-49.7</v>
      </c>
    </row>
    <row r="282" spans="1:12" x14ac:dyDescent="0.3">
      <c r="A282">
        <v>281</v>
      </c>
      <c r="B282" t="s">
        <v>326</v>
      </c>
      <c r="C282">
        <v>1990</v>
      </c>
      <c r="D282" t="s">
        <v>65</v>
      </c>
      <c r="E282" t="s">
        <v>18</v>
      </c>
      <c r="F282">
        <v>145</v>
      </c>
      <c r="G282" s="2">
        <v>21.1</v>
      </c>
      <c r="H282" s="2">
        <v>39.9</v>
      </c>
      <c r="I282" s="2">
        <v>7.6</v>
      </c>
      <c r="J282" t="s">
        <v>48</v>
      </c>
      <c r="K282" s="2">
        <v>18.8</v>
      </c>
      <c r="L282" s="3">
        <v>89.1</v>
      </c>
    </row>
    <row r="283" spans="1:12" x14ac:dyDescent="0.3">
      <c r="A283">
        <v>282</v>
      </c>
      <c r="B283" t="s">
        <v>327</v>
      </c>
      <c r="C283">
        <v>1991</v>
      </c>
      <c r="D283" t="s">
        <v>25</v>
      </c>
      <c r="E283" t="s">
        <v>22</v>
      </c>
      <c r="F283">
        <v>136</v>
      </c>
      <c r="G283" s="2">
        <v>57.5</v>
      </c>
      <c r="H283" s="2">
        <v>133.30000000000001</v>
      </c>
      <c r="I283" s="2">
        <v>6.4</v>
      </c>
      <c r="J283" t="s">
        <v>34</v>
      </c>
      <c r="K283" s="2">
        <v>75.8</v>
      </c>
      <c r="L283" s="3">
        <v>131.80000000000001</v>
      </c>
    </row>
    <row r="284" spans="1:12" x14ac:dyDescent="0.3">
      <c r="A284">
        <v>283</v>
      </c>
      <c r="B284" t="s">
        <v>328</v>
      </c>
      <c r="C284">
        <v>2000</v>
      </c>
      <c r="D284" t="s">
        <v>65</v>
      </c>
      <c r="E284" t="s">
        <v>22</v>
      </c>
      <c r="F284">
        <v>134</v>
      </c>
      <c r="G284" s="2">
        <v>117.8</v>
      </c>
      <c r="H284" s="2">
        <v>94.9</v>
      </c>
      <c r="I284" s="2">
        <v>6.7</v>
      </c>
      <c r="J284" t="s">
        <v>34</v>
      </c>
      <c r="K284" s="2">
        <v>-22.9</v>
      </c>
      <c r="L284" s="3">
        <v>-19.399999999999999</v>
      </c>
    </row>
    <row r="285" spans="1:12" x14ac:dyDescent="0.3">
      <c r="A285">
        <v>284</v>
      </c>
      <c r="B285" t="s">
        <v>329</v>
      </c>
      <c r="C285">
        <v>1991</v>
      </c>
      <c r="D285" t="s">
        <v>25</v>
      </c>
      <c r="E285" t="s">
        <v>22</v>
      </c>
      <c r="F285">
        <v>140</v>
      </c>
      <c r="G285" s="2">
        <v>125.1</v>
      </c>
      <c r="H285" s="2">
        <v>589.9</v>
      </c>
      <c r="I285" s="2">
        <v>6.5</v>
      </c>
      <c r="J285" t="s">
        <v>34</v>
      </c>
      <c r="K285" s="2">
        <v>464.8</v>
      </c>
      <c r="L285" s="3">
        <v>371.5</v>
      </c>
    </row>
    <row r="286" spans="1:12" x14ac:dyDescent="0.3">
      <c r="A286">
        <v>285</v>
      </c>
      <c r="B286" t="s">
        <v>330</v>
      </c>
      <c r="C286">
        <v>2016</v>
      </c>
      <c r="D286" t="s">
        <v>25</v>
      </c>
      <c r="E286" t="s">
        <v>66</v>
      </c>
      <c r="F286">
        <v>114</v>
      </c>
      <c r="G286" s="2">
        <v>23</v>
      </c>
      <c r="H286" s="2">
        <v>90.5</v>
      </c>
      <c r="I286" s="2">
        <v>7.6</v>
      </c>
      <c r="J286" t="s">
        <v>91</v>
      </c>
      <c r="K286" s="2">
        <v>67.5</v>
      </c>
      <c r="L286" s="3">
        <v>293.5</v>
      </c>
    </row>
    <row r="287" spans="1:12" x14ac:dyDescent="0.3">
      <c r="A287">
        <v>286</v>
      </c>
      <c r="B287" t="s">
        <v>331</v>
      </c>
      <c r="C287">
        <v>2021</v>
      </c>
      <c r="D287" t="s">
        <v>27</v>
      </c>
      <c r="E287" t="s">
        <v>127</v>
      </c>
      <c r="F287">
        <v>103</v>
      </c>
      <c r="G287" s="2">
        <v>28.4</v>
      </c>
      <c r="H287" s="2">
        <v>120.4</v>
      </c>
      <c r="I287" s="2">
        <v>7.8</v>
      </c>
      <c r="J287" t="s">
        <v>31</v>
      </c>
      <c r="K287" s="2">
        <v>92</v>
      </c>
      <c r="L287" s="3">
        <v>323.89999999999998</v>
      </c>
    </row>
    <row r="288" spans="1:12" x14ac:dyDescent="0.3">
      <c r="A288">
        <v>287</v>
      </c>
      <c r="B288" t="s">
        <v>332</v>
      </c>
      <c r="C288">
        <v>2013</v>
      </c>
      <c r="D288" t="s">
        <v>65</v>
      </c>
      <c r="E288" t="s">
        <v>18</v>
      </c>
      <c r="F288">
        <v>106</v>
      </c>
      <c r="G288" s="2">
        <v>23.4</v>
      </c>
      <c r="H288" s="2">
        <v>35.4</v>
      </c>
      <c r="I288" s="2">
        <v>6.5</v>
      </c>
      <c r="J288" t="s">
        <v>59</v>
      </c>
      <c r="K288" s="2">
        <v>12</v>
      </c>
      <c r="L288" s="3">
        <v>51.3</v>
      </c>
    </row>
    <row r="289" spans="1:12" x14ac:dyDescent="0.3">
      <c r="A289">
        <v>288</v>
      </c>
      <c r="B289" t="s">
        <v>333</v>
      </c>
      <c r="C289">
        <v>2023</v>
      </c>
      <c r="D289" t="s">
        <v>45</v>
      </c>
      <c r="E289" t="s">
        <v>22</v>
      </c>
      <c r="F289">
        <v>114</v>
      </c>
      <c r="G289" s="2">
        <v>40.6</v>
      </c>
      <c r="H289" s="2">
        <v>63.7</v>
      </c>
      <c r="I289" s="2">
        <v>7.1</v>
      </c>
      <c r="J289" t="s">
        <v>57</v>
      </c>
      <c r="K289" s="2">
        <v>23.1</v>
      </c>
      <c r="L289" s="3">
        <v>56.9</v>
      </c>
    </row>
    <row r="290" spans="1:12" x14ac:dyDescent="0.3">
      <c r="A290">
        <v>289</v>
      </c>
      <c r="B290" t="s">
        <v>334</v>
      </c>
      <c r="C290">
        <v>2006</v>
      </c>
      <c r="D290" t="s">
        <v>25</v>
      </c>
      <c r="E290" t="s">
        <v>18</v>
      </c>
      <c r="F290">
        <v>129</v>
      </c>
      <c r="G290" s="2">
        <v>5.4</v>
      </c>
      <c r="H290" s="2">
        <v>17.899999999999999</v>
      </c>
      <c r="I290" s="2">
        <v>7.9</v>
      </c>
      <c r="J290" t="s">
        <v>48</v>
      </c>
      <c r="K290" s="2">
        <v>12.5</v>
      </c>
      <c r="L290" s="3">
        <v>231.5</v>
      </c>
    </row>
    <row r="291" spans="1:12" x14ac:dyDescent="0.3">
      <c r="A291">
        <v>290</v>
      </c>
      <c r="B291" t="s">
        <v>335</v>
      </c>
      <c r="C291">
        <v>2002</v>
      </c>
      <c r="D291" t="s">
        <v>65</v>
      </c>
      <c r="E291" t="s">
        <v>22</v>
      </c>
      <c r="F291">
        <v>128</v>
      </c>
      <c r="G291" s="2">
        <v>61.9</v>
      </c>
      <c r="H291" s="2">
        <v>103.4</v>
      </c>
      <c r="I291" s="2">
        <v>8.9</v>
      </c>
      <c r="J291" t="s">
        <v>28</v>
      </c>
      <c r="K291" s="2">
        <v>41.5</v>
      </c>
      <c r="L291" s="3">
        <v>67</v>
      </c>
    </row>
    <row r="292" spans="1:12" x14ac:dyDescent="0.3">
      <c r="A292">
        <v>291</v>
      </c>
      <c r="B292" t="s">
        <v>336</v>
      </c>
      <c r="C292">
        <v>2016</v>
      </c>
      <c r="D292" t="s">
        <v>47</v>
      </c>
      <c r="E292" t="s">
        <v>18</v>
      </c>
      <c r="F292">
        <v>149</v>
      </c>
      <c r="G292" s="2">
        <v>30.3</v>
      </c>
      <c r="H292" s="2">
        <v>138.69999999999999</v>
      </c>
      <c r="I292" s="2">
        <v>6.2</v>
      </c>
      <c r="J292" t="s">
        <v>48</v>
      </c>
      <c r="K292" s="2">
        <v>108.4</v>
      </c>
      <c r="L292" s="3">
        <v>357.8</v>
      </c>
    </row>
    <row r="293" spans="1:12" x14ac:dyDescent="0.3">
      <c r="A293">
        <v>292</v>
      </c>
      <c r="B293" t="s">
        <v>337</v>
      </c>
      <c r="C293">
        <v>2010</v>
      </c>
      <c r="D293" t="s">
        <v>27</v>
      </c>
      <c r="E293" t="s">
        <v>66</v>
      </c>
      <c r="F293">
        <v>151</v>
      </c>
      <c r="G293" s="2">
        <v>10.5</v>
      </c>
      <c r="H293" s="2">
        <v>53</v>
      </c>
      <c r="I293" s="2">
        <v>7.1</v>
      </c>
      <c r="J293" t="s">
        <v>40</v>
      </c>
      <c r="K293" s="2">
        <v>42.5</v>
      </c>
      <c r="L293" s="3">
        <v>404.8</v>
      </c>
    </row>
    <row r="294" spans="1:12" x14ac:dyDescent="0.3">
      <c r="A294">
        <v>293</v>
      </c>
      <c r="B294" t="s">
        <v>338</v>
      </c>
      <c r="C294">
        <v>2024</v>
      </c>
      <c r="D294" t="s">
        <v>27</v>
      </c>
      <c r="E294" t="s">
        <v>22</v>
      </c>
      <c r="F294">
        <v>112</v>
      </c>
      <c r="G294" s="2">
        <v>58.2</v>
      </c>
      <c r="H294" s="2">
        <v>263.39999999999998</v>
      </c>
      <c r="I294" s="2">
        <v>8.1999999999999993</v>
      </c>
      <c r="J294" t="s">
        <v>23</v>
      </c>
      <c r="K294" s="2">
        <v>205.2</v>
      </c>
      <c r="L294" s="3">
        <v>352.6</v>
      </c>
    </row>
    <row r="295" spans="1:12" x14ac:dyDescent="0.3">
      <c r="A295">
        <v>294</v>
      </c>
      <c r="B295" t="s">
        <v>339</v>
      </c>
      <c r="C295">
        <v>2020</v>
      </c>
      <c r="D295" t="s">
        <v>45</v>
      </c>
      <c r="E295" t="s">
        <v>22</v>
      </c>
      <c r="F295">
        <v>116</v>
      </c>
      <c r="G295" s="2">
        <v>141.69999999999999</v>
      </c>
      <c r="H295" s="2">
        <v>187.6</v>
      </c>
      <c r="I295" s="2">
        <v>7</v>
      </c>
      <c r="J295" t="s">
        <v>51</v>
      </c>
      <c r="K295" s="2">
        <v>45.9</v>
      </c>
      <c r="L295" s="3">
        <v>32.4</v>
      </c>
    </row>
    <row r="296" spans="1:12" x14ac:dyDescent="0.3">
      <c r="A296">
        <v>295</v>
      </c>
      <c r="B296" t="s">
        <v>340</v>
      </c>
      <c r="C296">
        <v>2012</v>
      </c>
      <c r="D296" t="s">
        <v>17</v>
      </c>
      <c r="E296" t="s">
        <v>22</v>
      </c>
      <c r="F296">
        <v>128</v>
      </c>
      <c r="G296" s="2">
        <v>50.4</v>
      </c>
      <c r="H296" s="2">
        <v>139.5</v>
      </c>
      <c r="I296" s="2">
        <v>6.4</v>
      </c>
      <c r="J296" t="s">
        <v>28</v>
      </c>
      <c r="K296" s="2">
        <v>89.1</v>
      </c>
      <c r="L296" s="3">
        <v>176.8</v>
      </c>
    </row>
    <row r="297" spans="1:12" x14ac:dyDescent="0.3">
      <c r="A297">
        <v>296</v>
      </c>
      <c r="B297" t="s">
        <v>341</v>
      </c>
      <c r="C297">
        <v>2024</v>
      </c>
      <c r="D297" t="s">
        <v>45</v>
      </c>
      <c r="E297" t="s">
        <v>33</v>
      </c>
      <c r="F297">
        <v>128</v>
      </c>
      <c r="G297" s="2">
        <v>28.9</v>
      </c>
      <c r="H297" s="2">
        <v>119.6</v>
      </c>
      <c r="I297" s="2">
        <v>7.8</v>
      </c>
      <c r="J297" t="s">
        <v>40</v>
      </c>
      <c r="K297" s="2">
        <v>90.7</v>
      </c>
      <c r="L297" s="3">
        <v>313.8</v>
      </c>
    </row>
    <row r="298" spans="1:12" x14ac:dyDescent="0.3">
      <c r="A298">
        <v>297</v>
      </c>
      <c r="B298" t="s">
        <v>342</v>
      </c>
      <c r="C298">
        <v>1991</v>
      </c>
      <c r="D298" t="s">
        <v>25</v>
      </c>
      <c r="E298" t="s">
        <v>22</v>
      </c>
      <c r="F298">
        <v>141</v>
      </c>
      <c r="G298" s="2">
        <v>52.9</v>
      </c>
      <c r="H298" s="2">
        <v>88.6</v>
      </c>
      <c r="I298" s="2">
        <v>7.7</v>
      </c>
      <c r="J298" t="s">
        <v>79</v>
      </c>
      <c r="K298" s="2">
        <v>35.700000000000003</v>
      </c>
      <c r="L298" s="3">
        <v>67.5</v>
      </c>
    </row>
    <row r="299" spans="1:12" x14ac:dyDescent="0.3">
      <c r="A299">
        <v>298</v>
      </c>
      <c r="B299" t="s">
        <v>343</v>
      </c>
      <c r="C299">
        <v>2015</v>
      </c>
      <c r="D299" t="s">
        <v>45</v>
      </c>
      <c r="E299" t="s">
        <v>22</v>
      </c>
      <c r="F299">
        <v>134</v>
      </c>
      <c r="G299" s="2">
        <v>90.3</v>
      </c>
      <c r="H299" s="2">
        <v>86.6</v>
      </c>
      <c r="I299" s="2">
        <v>7.1</v>
      </c>
      <c r="J299" t="s">
        <v>57</v>
      </c>
      <c r="K299" s="2">
        <v>-3.7</v>
      </c>
      <c r="L299" s="3">
        <v>-4.0999999999999996</v>
      </c>
    </row>
    <row r="300" spans="1:12" x14ac:dyDescent="0.3">
      <c r="A300">
        <v>299</v>
      </c>
      <c r="B300" t="s">
        <v>344</v>
      </c>
      <c r="C300">
        <v>2019</v>
      </c>
      <c r="D300" t="s">
        <v>65</v>
      </c>
      <c r="E300" t="s">
        <v>22</v>
      </c>
      <c r="F300">
        <v>127</v>
      </c>
      <c r="G300" s="2">
        <v>207.7</v>
      </c>
      <c r="H300" s="2">
        <v>321.2</v>
      </c>
      <c r="I300" s="2">
        <v>8</v>
      </c>
      <c r="J300" t="s">
        <v>37</v>
      </c>
      <c r="K300" s="2">
        <v>113.5</v>
      </c>
      <c r="L300" s="3">
        <v>54.6</v>
      </c>
    </row>
    <row r="301" spans="1:12" x14ac:dyDescent="0.3">
      <c r="A301">
        <v>300</v>
      </c>
      <c r="B301" t="s">
        <v>345</v>
      </c>
      <c r="C301">
        <v>1996</v>
      </c>
      <c r="D301" t="s">
        <v>47</v>
      </c>
      <c r="E301" t="s">
        <v>18</v>
      </c>
      <c r="F301">
        <v>91</v>
      </c>
      <c r="G301" s="2">
        <v>3.7</v>
      </c>
      <c r="H301" s="2">
        <v>4.5999999999999996</v>
      </c>
      <c r="I301" s="2">
        <v>7.8</v>
      </c>
      <c r="J301" t="s">
        <v>19</v>
      </c>
      <c r="K301" s="2">
        <v>0.9</v>
      </c>
      <c r="L301" s="3">
        <v>24.3</v>
      </c>
    </row>
    <row r="302" spans="1:12" x14ac:dyDescent="0.3">
      <c r="A302">
        <v>301</v>
      </c>
      <c r="B302" t="s">
        <v>346</v>
      </c>
      <c r="C302">
        <v>1993</v>
      </c>
      <c r="D302" t="s">
        <v>53</v>
      </c>
      <c r="E302" t="s">
        <v>14</v>
      </c>
      <c r="F302">
        <v>166</v>
      </c>
      <c r="G302" s="2">
        <v>60</v>
      </c>
      <c r="H302" s="2">
        <v>121.7</v>
      </c>
      <c r="I302" s="2">
        <v>7.1</v>
      </c>
      <c r="J302" t="s">
        <v>15</v>
      </c>
      <c r="K302" s="2">
        <v>61.7</v>
      </c>
      <c r="L302" s="3">
        <v>102.8</v>
      </c>
    </row>
    <row r="303" spans="1:12" x14ac:dyDescent="0.3">
      <c r="A303">
        <v>302</v>
      </c>
      <c r="B303" t="s">
        <v>347</v>
      </c>
      <c r="C303">
        <v>2004</v>
      </c>
      <c r="D303" t="s">
        <v>17</v>
      </c>
      <c r="E303" t="s">
        <v>18</v>
      </c>
      <c r="F303">
        <v>130</v>
      </c>
      <c r="G303" s="2">
        <v>9.1</v>
      </c>
      <c r="H303" s="2">
        <v>24.1</v>
      </c>
      <c r="I303" s="2">
        <v>6.8</v>
      </c>
      <c r="J303" t="s">
        <v>75</v>
      </c>
      <c r="K303" s="2">
        <v>15</v>
      </c>
      <c r="L303" s="3">
        <v>164.8</v>
      </c>
    </row>
    <row r="304" spans="1:12" x14ac:dyDescent="0.3">
      <c r="A304">
        <v>303</v>
      </c>
      <c r="B304" t="s">
        <v>348</v>
      </c>
      <c r="C304">
        <v>1999</v>
      </c>
      <c r="D304" t="s">
        <v>65</v>
      </c>
      <c r="E304" t="s">
        <v>22</v>
      </c>
      <c r="F304">
        <v>147</v>
      </c>
      <c r="G304" s="2">
        <v>68</v>
      </c>
      <c r="H304" s="2">
        <v>65.7</v>
      </c>
      <c r="I304" s="2">
        <v>8.1</v>
      </c>
      <c r="J304" t="s">
        <v>40</v>
      </c>
      <c r="K304" s="2">
        <v>-2.2999999999999998</v>
      </c>
      <c r="L304" s="3">
        <v>-3.4</v>
      </c>
    </row>
    <row r="305" spans="1:12" x14ac:dyDescent="0.3">
      <c r="A305">
        <v>304</v>
      </c>
      <c r="B305" t="s">
        <v>349</v>
      </c>
      <c r="C305">
        <v>2013</v>
      </c>
      <c r="D305" t="s">
        <v>45</v>
      </c>
      <c r="E305" t="s">
        <v>22</v>
      </c>
      <c r="F305">
        <v>137</v>
      </c>
      <c r="G305" s="2">
        <v>149.9</v>
      </c>
      <c r="H305" s="2">
        <v>632.4</v>
      </c>
      <c r="I305" s="2">
        <v>8.1</v>
      </c>
      <c r="J305" t="s">
        <v>91</v>
      </c>
      <c r="K305" s="2">
        <v>482.5</v>
      </c>
      <c r="L305" s="3">
        <v>321.89999999999998</v>
      </c>
    </row>
    <row r="306" spans="1:12" x14ac:dyDescent="0.3">
      <c r="A306">
        <v>305</v>
      </c>
      <c r="B306" t="s">
        <v>350</v>
      </c>
      <c r="C306">
        <v>2009</v>
      </c>
      <c r="D306" t="s">
        <v>45</v>
      </c>
      <c r="E306" t="s">
        <v>22</v>
      </c>
      <c r="F306">
        <v>82</v>
      </c>
      <c r="G306" s="2">
        <v>37.9</v>
      </c>
      <c r="H306" s="2">
        <v>133.9</v>
      </c>
      <c r="I306" s="2">
        <v>7.5</v>
      </c>
      <c r="J306" t="s">
        <v>51</v>
      </c>
      <c r="K306" s="2">
        <v>96</v>
      </c>
      <c r="L306" s="3">
        <v>253.3</v>
      </c>
    </row>
    <row r="307" spans="1:12" x14ac:dyDescent="0.3">
      <c r="A307">
        <v>306</v>
      </c>
      <c r="B307" t="s">
        <v>351</v>
      </c>
      <c r="C307">
        <v>1994</v>
      </c>
      <c r="D307" t="s">
        <v>17</v>
      </c>
      <c r="E307" t="s">
        <v>30</v>
      </c>
      <c r="F307">
        <v>121</v>
      </c>
      <c r="G307" s="2">
        <v>57.2</v>
      </c>
      <c r="H307" s="2">
        <v>184.5</v>
      </c>
      <c r="I307" s="2">
        <v>5.9</v>
      </c>
      <c r="J307" t="s">
        <v>79</v>
      </c>
      <c r="K307" s="2">
        <v>127.3</v>
      </c>
      <c r="L307" s="3">
        <v>222.6</v>
      </c>
    </row>
    <row r="308" spans="1:12" x14ac:dyDescent="0.3">
      <c r="A308">
        <v>307</v>
      </c>
      <c r="B308" t="s">
        <v>352</v>
      </c>
      <c r="C308">
        <v>1995</v>
      </c>
      <c r="D308" t="s">
        <v>27</v>
      </c>
      <c r="E308" t="s">
        <v>22</v>
      </c>
      <c r="F308">
        <v>75</v>
      </c>
      <c r="G308" s="2">
        <v>101.8</v>
      </c>
      <c r="H308" s="2">
        <v>402.1</v>
      </c>
      <c r="I308" s="2">
        <v>7.4</v>
      </c>
      <c r="J308" t="s">
        <v>57</v>
      </c>
      <c r="K308" s="2">
        <v>300.3</v>
      </c>
      <c r="L308" s="3">
        <v>295</v>
      </c>
    </row>
    <row r="309" spans="1:12" x14ac:dyDescent="0.3">
      <c r="A309">
        <v>308</v>
      </c>
      <c r="B309" t="s">
        <v>353</v>
      </c>
      <c r="C309">
        <v>2015</v>
      </c>
      <c r="D309" t="s">
        <v>17</v>
      </c>
      <c r="E309" t="s">
        <v>22</v>
      </c>
      <c r="F309">
        <v>104</v>
      </c>
      <c r="G309" s="2">
        <v>296.7</v>
      </c>
      <c r="H309" s="2">
        <v>240.8</v>
      </c>
      <c r="I309" s="2">
        <v>5.9</v>
      </c>
      <c r="J309" t="s">
        <v>40</v>
      </c>
      <c r="K309" s="2">
        <v>-55.9</v>
      </c>
      <c r="L309" s="3">
        <v>-18.8</v>
      </c>
    </row>
    <row r="310" spans="1:12" x14ac:dyDescent="0.3">
      <c r="A310">
        <v>309</v>
      </c>
      <c r="B310" t="s">
        <v>354</v>
      </c>
      <c r="C310">
        <v>2007</v>
      </c>
      <c r="D310" t="s">
        <v>21</v>
      </c>
      <c r="E310" t="s">
        <v>22</v>
      </c>
      <c r="F310">
        <v>104</v>
      </c>
      <c r="G310" s="2">
        <v>174.5</v>
      </c>
      <c r="H310" s="2">
        <v>681.7</v>
      </c>
      <c r="I310" s="2">
        <v>7.6</v>
      </c>
      <c r="J310" t="s">
        <v>23</v>
      </c>
      <c r="K310" s="2">
        <v>507.2</v>
      </c>
      <c r="L310" s="3">
        <v>290.7</v>
      </c>
    </row>
    <row r="311" spans="1:12" x14ac:dyDescent="0.3">
      <c r="A311">
        <v>310</v>
      </c>
      <c r="B311" t="s">
        <v>355</v>
      </c>
      <c r="C311">
        <v>2023</v>
      </c>
      <c r="D311" t="s">
        <v>36</v>
      </c>
      <c r="E311" t="s">
        <v>22</v>
      </c>
      <c r="F311">
        <v>121</v>
      </c>
      <c r="G311" s="2">
        <v>37.6</v>
      </c>
      <c r="H311" s="2">
        <v>49.1</v>
      </c>
      <c r="I311" s="2">
        <v>8</v>
      </c>
      <c r="J311" t="s">
        <v>28</v>
      </c>
      <c r="K311" s="2">
        <v>11.5</v>
      </c>
      <c r="L311" s="3">
        <v>30.6</v>
      </c>
    </row>
    <row r="312" spans="1:12" x14ac:dyDescent="0.3">
      <c r="A312">
        <v>311</v>
      </c>
      <c r="B312" t="s">
        <v>356</v>
      </c>
      <c r="C312">
        <v>2006</v>
      </c>
      <c r="D312" t="s">
        <v>13</v>
      </c>
      <c r="E312" t="s">
        <v>30</v>
      </c>
      <c r="F312">
        <v>136</v>
      </c>
      <c r="G312" s="2">
        <v>97.9</v>
      </c>
      <c r="H312" s="2">
        <v>186.9</v>
      </c>
      <c r="I312" s="2">
        <v>8.3000000000000007</v>
      </c>
      <c r="J312" t="s">
        <v>91</v>
      </c>
      <c r="K312" s="2">
        <v>89</v>
      </c>
      <c r="L312" s="3">
        <v>90.9</v>
      </c>
    </row>
    <row r="313" spans="1:12" x14ac:dyDescent="0.3">
      <c r="A313">
        <v>312</v>
      </c>
      <c r="B313" t="s">
        <v>357</v>
      </c>
      <c r="C313">
        <v>2010</v>
      </c>
      <c r="D313" t="s">
        <v>13</v>
      </c>
      <c r="E313" t="s">
        <v>22</v>
      </c>
      <c r="F313">
        <v>130</v>
      </c>
      <c r="G313" s="2">
        <v>184</v>
      </c>
      <c r="H313" s="2">
        <v>263.5</v>
      </c>
      <c r="I313" s="2">
        <v>7.2</v>
      </c>
      <c r="J313" t="s">
        <v>34</v>
      </c>
      <c r="K313" s="2">
        <v>79.5</v>
      </c>
      <c r="L313" s="3">
        <v>43.2</v>
      </c>
    </row>
    <row r="314" spans="1:12" x14ac:dyDescent="0.3">
      <c r="A314">
        <v>313</v>
      </c>
      <c r="B314" t="s">
        <v>358</v>
      </c>
      <c r="C314">
        <v>2016</v>
      </c>
      <c r="D314" t="s">
        <v>25</v>
      </c>
      <c r="E314" t="s">
        <v>22</v>
      </c>
      <c r="F314">
        <v>195</v>
      </c>
      <c r="G314" s="2">
        <v>21.7</v>
      </c>
      <c r="H314" s="2">
        <v>57.7</v>
      </c>
      <c r="I314" s="2">
        <v>6.4</v>
      </c>
      <c r="J314" t="s">
        <v>79</v>
      </c>
      <c r="K314" s="2">
        <v>36</v>
      </c>
      <c r="L314" s="3">
        <v>165.9</v>
      </c>
    </row>
    <row r="315" spans="1:12" x14ac:dyDescent="0.3">
      <c r="A315">
        <v>314</v>
      </c>
      <c r="B315" t="s">
        <v>359</v>
      </c>
      <c r="C315">
        <v>2019</v>
      </c>
      <c r="D315" t="s">
        <v>53</v>
      </c>
      <c r="E315" t="s">
        <v>30</v>
      </c>
      <c r="F315">
        <v>131</v>
      </c>
      <c r="G315" s="2">
        <v>38.9</v>
      </c>
      <c r="H315" s="2">
        <v>90.6</v>
      </c>
      <c r="I315" s="2">
        <v>7.8</v>
      </c>
      <c r="J315" t="s">
        <v>57</v>
      </c>
      <c r="K315" s="2">
        <v>51.7</v>
      </c>
      <c r="L315" s="3">
        <v>132.9</v>
      </c>
    </row>
    <row r="316" spans="1:12" x14ac:dyDescent="0.3">
      <c r="A316">
        <v>315</v>
      </c>
      <c r="B316" t="s">
        <v>360</v>
      </c>
      <c r="C316">
        <v>2016</v>
      </c>
      <c r="D316" t="s">
        <v>65</v>
      </c>
      <c r="E316" t="s">
        <v>14</v>
      </c>
      <c r="F316">
        <v>86</v>
      </c>
      <c r="G316" s="2">
        <v>66.599999999999994</v>
      </c>
      <c r="H316" s="2">
        <v>38.1</v>
      </c>
      <c r="I316" s="2">
        <v>6.7</v>
      </c>
      <c r="J316" t="s">
        <v>15</v>
      </c>
      <c r="K316" s="2">
        <v>-28.5</v>
      </c>
      <c r="L316" s="3">
        <v>-42.8</v>
      </c>
    </row>
    <row r="317" spans="1:12" x14ac:dyDescent="0.3">
      <c r="A317">
        <v>316</v>
      </c>
      <c r="B317" t="s">
        <v>361</v>
      </c>
      <c r="C317">
        <v>2018</v>
      </c>
      <c r="D317" t="s">
        <v>27</v>
      </c>
      <c r="E317" t="s">
        <v>33</v>
      </c>
      <c r="F317">
        <v>142</v>
      </c>
      <c r="G317" s="2">
        <v>130.19999999999999</v>
      </c>
      <c r="H317" s="2">
        <v>158</v>
      </c>
      <c r="I317" s="2">
        <v>6.7</v>
      </c>
      <c r="J317" t="s">
        <v>23</v>
      </c>
      <c r="K317" s="2">
        <v>27.8</v>
      </c>
      <c r="L317" s="3">
        <v>21.4</v>
      </c>
    </row>
    <row r="318" spans="1:12" x14ac:dyDescent="0.3">
      <c r="A318">
        <v>317</v>
      </c>
      <c r="B318" t="s">
        <v>362</v>
      </c>
      <c r="C318">
        <v>1996</v>
      </c>
      <c r="D318" t="s">
        <v>53</v>
      </c>
      <c r="E318" t="s">
        <v>33</v>
      </c>
      <c r="F318">
        <v>89</v>
      </c>
      <c r="G318" s="2">
        <v>76.3</v>
      </c>
      <c r="H318" s="2">
        <v>99.2</v>
      </c>
      <c r="I318" s="2">
        <v>7.8</v>
      </c>
      <c r="J318" t="s">
        <v>31</v>
      </c>
      <c r="K318" s="2">
        <v>22.9</v>
      </c>
      <c r="L318" s="3">
        <v>30</v>
      </c>
    </row>
    <row r="319" spans="1:12" x14ac:dyDescent="0.3">
      <c r="A319">
        <v>318</v>
      </c>
      <c r="B319" t="s">
        <v>363</v>
      </c>
      <c r="C319">
        <v>2017</v>
      </c>
      <c r="D319" t="s">
        <v>45</v>
      </c>
      <c r="E319" t="s">
        <v>22</v>
      </c>
      <c r="F319">
        <v>84</v>
      </c>
      <c r="G319" s="2">
        <v>65.5</v>
      </c>
      <c r="H319" s="2">
        <v>138.1</v>
      </c>
      <c r="I319" s="2">
        <v>7.7</v>
      </c>
      <c r="J319" t="s">
        <v>79</v>
      </c>
      <c r="K319" s="2">
        <v>72.599999999999994</v>
      </c>
      <c r="L319" s="3">
        <v>110.8</v>
      </c>
    </row>
    <row r="320" spans="1:12" x14ac:dyDescent="0.3">
      <c r="A320">
        <v>319</v>
      </c>
      <c r="B320" t="s">
        <v>364</v>
      </c>
      <c r="C320">
        <v>2013</v>
      </c>
      <c r="D320" t="s">
        <v>47</v>
      </c>
      <c r="E320" t="s">
        <v>22</v>
      </c>
      <c r="F320">
        <v>150</v>
      </c>
      <c r="G320" s="2">
        <v>113.3</v>
      </c>
      <c r="H320" s="2">
        <v>484.9</v>
      </c>
      <c r="I320" s="2">
        <v>5.5</v>
      </c>
      <c r="J320" t="s">
        <v>51</v>
      </c>
      <c r="K320" s="2">
        <v>371.6</v>
      </c>
      <c r="L320" s="3">
        <v>328</v>
      </c>
    </row>
    <row r="321" spans="1:12" x14ac:dyDescent="0.3">
      <c r="A321">
        <v>320</v>
      </c>
      <c r="B321" t="s">
        <v>365</v>
      </c>
      <c r="C321">
        <v>2012</v>
      </c>
      <c r="D321" t="s">
        <v>53</v>
      </c>
      <c r="E321" t="s">
        <v>22</v>
      </c>
      <c r="F321">
        <v>132</v>
      </c>
      <c r="G321" s="2">
        <v>109.1</v>
      </c>
      <c r="H321" s="2">
        <v>68.900000000000006</v>
      </c>
      <c r="I321" s="2">
        <v>4.8</v>
      </c>
      <c r="J321" t="s">
        <v>40</v>
      </c>
      <c r="K321" s="2">
        <v>-40.200000000000003</v>
      </c>
      <c r="L321" s="3">
        <v>-36.799999999999997</v>
      </c>
    </row>
    <row r="322" spans="1:12" x14ac:dyDescent="0.3">
      <c r="A322">
        <v>321</v>
      </c>
      <c r="B322" t="s">
        <v>366</v>
      </c>
      <c r="C322">
        <v>1999</v>
      </c>
      <c r="D322" t="s">
        <v>13</v>
      </c>
      <c r="E322" t="s">
        <v>22</v>
      </c>
      <c r="F322">
        <v>99</v>
      </c>
      <c r="G322" s="2">
        <v>37.1</v>
      </c>
      <c r="H322" s="2">
        <v>16.899999999999999</v>
      </c>
      <c r="I322" s="2">
        <v>7.7</v>
      </c>
      <c r="J322" t="s">
        <v>40</v>
      </c>
      <c r="K322" s="2">
        <v>-20.2</v>
      </c>
      <c r="L322" s="3">
        <v>-54.4</v>
      </c>
    </row>
    <row r="323" spans="1:12" x14ac:dyDescent="0.3">
      <c r="A323">
        <v>322</v>
      </c>
      <c r="B323" t="s">
        <v>367</v>
      </c>
      <c r="C323">
        <v>1994</v>
      </c>
      <c r="D323" t="s">
        <v>36</v>
      </c>
      <c r="E323" t="s">
        <v>33</v>
      </c>
      <c r="F323">
        <v>96</v>
      </c>
      <c r="G323" s="2">
        <v>34.299999999999997</v>
      </c>
      <c r="H323" s="2">
        <v>31.3</v>
      </c>
      <c r="I323" s="2">
        <v>6.3</v>
      </c>
      <c r="J323" t="s">
        <v>91</v>
      </c>
      <c r="K323" s="2">
        <v>-3</v>
      </c>
      <c r="L323" s="3">
        <v>-8.6999999999999993</v>
      </c>
    </row>
    <row r="324" spans="1:12" x14ac:dyDescent="0.3">
      <c r="A324">
        <v>323</v>
      </c>
      <c r="B324" t="s">
        <v>368</v>
      </c>
      <c r="C324">
        <v>2025</v>
      </c>
      <c r="D324" t="s">
        <v>21</v>
      </c>
      <c r="E324" t="s">
        <v>18</v>
      </c>
      <c r="F324">
        <v>116</v>
      </c>
      <c r="G324" s="2">
        <v>5.5</v>
      </c>
      <c r="H324" s="2">
        <v>10.3</v>
      </c>
      <c r="I324" s="2">
        <v>7.2</v>
      </c>
      <c r="J324" t="s">
        <v>48</v>
      </c>
      <c r="K324" s="2">
        <v>4.8</v>
      </c>
      <c r="L324" s="3">
        <v>87.3</v>
      </c>
    </row>
    <row r="325" spans="1:12" x14ac:dyDescent="0.3">
      <c r="A325">
        <v>324</v>
      </c>
      <c r="B325" t="s">
        <v>369</v>
      </c>
      <c r="C325">
        <v>2006</v>
      </c>
      <c r="D325" t="s">
        <v>53</v>
      </c>
      <c r="E325" t="s">
        <v>22</v>
      </c>
      <c r="F325">
        <v>81</v>
      </c>
      <c r="G325" s="2">
        <v>92.8</v>
      </c>
      <c r="H325" s="2">
        <v>237.1</v>
      </c>
      <c r="I325" s="2">
        <v>7</v>
      </c>
      <c r="J325" t="s">
        <v>91</v>
      </c>
      <c r="K325" s="2">
        <v>144.30000000000001</v>
      </c>
      <c r="L325" s="3">
        <v>155.5</v>
      </c>
    </row>
    <row r="326" spans="1:12" x14ac:dyDescent="0.3">
      <c r="A326">
        <v>325</v>
      </c>
      <c r="B326" t="s">
        <v>370</v>
      </c>
      <c r="C326">
        <v>2010</v>
      </c>
      <c r="D326" t="s">
        <v>17</v>
      </c>
      <c r="E326" t="s">
        <v>39</v>
      </c>
      <c r="F326">
        <v>123</v>
      </c>
      <c r="G326" s="2">
        <v>91</v>
      </c>
      <c r="H326" s="2">
        <v>112.6</v>
      </c>
      <c r="I326" s="2">
        <v>6.9</v>
      </c>
      <c r="J326" t="s">
        <v>31</v>
      </c>
      <c r="K326" s="2">
        <v>21.6</v>
      </c>
      <c r="L326" s="3">
        <v>23.7</v>
      </c>
    </row>
    <row r="327" spans="1:12" x14ac:dyDescent="0.3">
      <c r="A327">
        <v>326</v>
      </c>
      <c r="B327" t="s">
        <v>371</v>
      </c>
      <c r="C327">
        <v>2006</v>
      </c>
      <c r="D327" t="s">
        <v>25</v>
      </c>
      <c r="E327" t="s">
        <v>22</v>
      </c>
      <c r="F327">
        <v>130</v>
      </c>
      <c r="G327" s="2">
        <v>24.5</v>
      </c>
      <c r="H327" s="2">
        <v>121.1</v>
      </c>
      <c r="I327" s="2">
        <v>6</v>
      </c>
      <c r="J327" t="s">
        <v>91</v>
      </c>
      <c r="K327" s="2">
        <v>96.6</v>
      </c>
      <c r="L327" s="3">
        <v>394.3</v>
      </c>
    </row>
    <row r="328" spans="1:12" x14ac:dyDescent="0.3">
      <c r="A328">
        <v>327</v>
      </c>
      <c r="B328" t="s">
        <v>372</v>
      </c>
      <c r="C328">
        <v>1992</v>
      </c>
      <c r="D328" t="s">
        <v>25</v>
      </c>
      <c r="E328" t="s">
        <v>33</v>
      </c>
      <c r="F328">
        <v>77</v>
      </c>
      <c r="G328" s="2">
        <v>94.1</v>
      </c>
      <c r="H328" s="2">
        <v>250.7</v>
      </c>
      <c r="I328" s="2">
        <v>4.9000000000000004</v>
      </c>
      <c r="J328" t="s">
        <v>37</v>
      </c>
      <c r="K328" s="2">
        <v>156.6</v>
      </c>
      <c r="L328" s="3">
        <v>166.4</v>
      </c>
    </row>
    <row r="329" spans="1:12" x14ac:dyDescent="0.3">
      <c r="A329">
        <v>328</v>
      </c>
      <c r="B329" t="s">
        <v>373</v>
      </c>
      <c r="C329">
        <v>1993</v>
      </c>
      <c r="D329" t="s">
        <v>65</v>
      </c>
      <c r="E329" t="s">
        <v>22</v>
      </c>
      <c r="F329">
        <v>128</v>
      </c>
      <c r="G329" s="2">
        <v>78.8</v>
      </c>
      <c r="H329" s="2">
        <v>188.3</v>
      </c>
      <c r="I329" s="2">
        <v>6.8</v>
      </c>
      <c r="J329" t="s">
        <v>31</v>
      </c>
      <c r="K329" s="2">
        <v>109.5</v>
      </c>
      <c r="L329" s="3">
        <v>139</v>
      </c>
    </row>
    <row r="330" spans="1:12" x14ac:dyDescent="0.3">
      <c r="A330">
        <v>329</v>
      </c>
      <c r="B330" t="s">
        <v>374</v>
      </c>
      <c r="C330">
        <v>2023</v>
      </c>
      <c r="D330" t="s">
        <v>27</v>
      </c>
      <c r="E330" t="s">
        <v>22</v>
      </c>
      <c r="F330">
        <v>132</v>
      </c>
      <c r="G330" s="2">
        <v>258.8</v>
      </c>
      <c r="H330" s="2">
        <v>859.6</v>
      </c>
      <c r="I330" s="2">
        <v>5.5</v>
      </c>
      <c r="J330" t="s">
        <v>23</v>
      </c>
      <c r="K330" s="2">
        <v>600.79999999999995</v>
      </c>
      <c r="L330" s="3">
        <v>232.1</v>
      </c>
    </row>
    <row r="331" spans="1:12" x14ac:dyDescent="0.3">
      <c r="A331">
        <v>330</v>
      </c>
      <c r="B331" t="s">
        <v>375</v>
      </c>
      <c r="C331">
        <v>2005</v>
      </c>
      <c r="D331" t="s">
        <v>47</v>
      </c>
      <c r="E331" t="s">
        <v>22</v>
      </c>
      <c r="F331">
        <v>108</v>
      </c>
      <c r="G331" s="2">
        <v>89.1</v>
      </c>
      <c r="H331" s="2">
        <v>461.7</v>
      </c>
      <c r="I331" s="2">
        <v>6.8</v>
      </c>
      <c r="J331" t="s">
        <v>51</v>
      </c>
      <c r="K331" s="2">
        <v>372.6</v>
      </c>
      <c r="L331" s="3">
        <v>418.2</v>
      </c>
    </row>
    <row r="332" spans="1:12" x14ac:dyDescent="0.3">
      <c r="A332">
        <v>331</v>
      </c>
      <c r="B332" t="s">
        <v>376</v>
      </c>
      <c r="C332">
        <v>2020</v>
      </c>
      <c r="D332" t="s">
        <v>65</v>
      </c>
      <c r="E332" t="s">
        <v>22</v>
      </c>
      <c r="F332">
        <v>125</v>
      </c>
      <c r="G332" s="2">
        <v>179.3</v>
      </c>
      <c r="H332" s="2">
        <v>120.7</v>
      </c>
      <c r="I332" s="2">
        <v>7.5</v>
      </c>
      <c r="J332" t="s">
        <v>28</v>
      </c>
      <c r="K332" s="2">
        <v>-58.6</v>
      </c>
      <c r="L332" s="3">
        <v>-32.700000000000003</v>
      </c>
    </row>
    <row r="333" spans="1:12" x14ac:dyDescent="0.3">
      <c r="A333">
        <v>332</v>
      </c>
      <c r="B333" t="s">
        <v>377</v>
      </c>
      <c r="C333">
        <v>2005</v>
      </c>
      <c r="D333" t="s">
        <v>21</v>
      </c>
      <c r="E333" t="s">
        <v>18</v>
      </c>
      <c r="F333">
        <v>120</v>
      </c>
      <c r="G333" s="2">
        <v>4.8</v>
      </c>
      <c r="H333" s="2">
        <v>9</v>
      </c>
      <c r="I333" s="2">
        <v>6.7</v>
      </c>
      <c r="J333" t="s">
        <v>68</v>
      </c>
      <c r="K333" s="2">
        <v>4.2</v>
      </c>
      <c r="L333" s="3">
        <v>87.5</v>
      </c>
    </row>
    <row r="334" spans="1:12" x14ac:dyDescent="0.3">
      <c r="A334">
        <v>333</v>
      </c>
      <c r="B334" t="s">
        <v>378</v>
      </c>
      <c r="C334">
        <v>1995</v>
      </c>
      <c r="D334" t="s">
        <v>65</v>
      </c>
      <c r="E334" t="s">
        <v>18</v>
      </c>
      <c r="F334">
        <v>108</v>
      </c>
      <c r="G334" s="2">
        <v>10.1</v>
      </c>
      <c r="H334" s="2">
        <v>11.4</v>
      </c>
      <c r="I334" s="2">
        <v>6.6</v>
      </c>
      <c r="J334" t="s">
        <v>59</v>
      </c>
      <c r="K334" s="2">
        <v>1.3</v>
      </c>
      <c r="L334" s="3">
        <v>12.9</v>
      </c>
    </row>
    <row r="335" spans="1:12" x14ac:dyDescent="0.3">
      <c r="A335">
        <v>334</v>
      </c>
      <c r="B335" t="s">
        <v>379</v>
      </c>
      <c r="C335">
        <v>2019</v>
      </c>
      <c r="D335" t="s">
        <v>65</v>
      </c>
      <c r="E335" t="s">
        <v>30</v>
      </c>
      <c r="F335">
        <v>130</v>
      </c>
      <c r="G335" s="2">
        <v>26.7</v>
      </c>
      <c r="H335" s="2">
        <v>47.2</v>
      </c>
      <c r="I335" s="2">
        <v>7.6</v>
      </c>
      <c r="J335" t="s">
        <v>37</v>
      </c>
      <c r="K335" s="2">
        <v>20.5</v>
      </c>
      <c r="L335" s="3">
        <v>76.8</v>
      </c>
    </row>
    <row r="336" spans="1:12" x14ac:dyDescent="0.3">
      <c r="A336">
        <v>335</v>
      </c>
      <c r="B336" t="s">
        <v>380</v>
      </c>
      <c r="C336">
        <v>2018</v>
      </c>
      <c r="D336" t="s">
        <v>25</v>
      </c>
      <c r="E336" t="s">
        <v>22</v>
      </c>
      <c r="F336">
        <v>124</v>
      </c>
      <c r="G336" s="2">
        <v>53.2</v>
      </c>
      <c r="H336" s="2">
        <v>262.5</v>
      </c>
      <c r="I336" s="2">
        <v>7.2</v>
      </c>
      <c r="J336" t="s">
        <v>34</v>
      </c>
      <c r="K336" s="2">
        <v>209.3</v>
      </c>
      <c r="L336" s="3">
        <v>393.4</v>
      </c>
    </row>
    <row r="337" spans="1:12" x14ac:dyDescent="0.3">
      <c r="A337">
        <v>336</v>
      </c>
      <c r="B337" t="s">
        <v>381</v>
      </c>
      <c r="C337">
        <v>2017</v>
      </c>
      <c r="D337" t="s">
        <v>65</v>
      </c>
      <c r="E337" t="s">
        <v>66</v>
      </c>
      <c r="F337">
        <v>101</v>
      </c>
      <c r="G337" s="2">
        <v>28.3</v>
      </c>
      <c r="H337" s="2">
        <v>36.299999999999997</v>
      </c>
      <c r="I337" s="2">
        <v>5.6</v>
      </c>
      <c r="J337" t="s">
        <v>57</v>
      </c>
      <c r="K337" s="2">
        <v>8</v>
      </c>
      <c r="L337" s="3">
        <v>28.3</v>
      </c>
    </row>
    <row r="338" spans="1:12" x14ac:dyDescent="0.3">
      <c r="A338">
        <v>337</v>
      </c>
      <c r="B338" t="s">
        <v>382</v>
      </c>
      <c r="C338">
        <v>1999</v>
      </c>
      <c r="D338" t="s">
        <v>17</v>
      </c>
      <c r="E338" t="s">
        <v>14</v>
      </c>
      <c r="F338">
        <v>104</v>
      </c>
      <c r="G338" s="2">
        <v>90.1</v>
      </c>
      <c r="H338" s="2">
        <v>306.10000000000002</v>
      </c>
      <c r="I338" s="2">
        <v>7</v>
      </c>
      <c r="J338" t="s">
        <v>15</v>
      </c>
      <c r="K338" s="2">
        <v>216</v>
      </c>
      <c r="L338" s="3">
        <v>239.7</v>
      </c>
    </row>
    <row r="339" spans="1:12" x14ac:dyDescent="0.3">
      <c r="A339">
        <v>338</v>
      </c>
      <c r="B339" t="s">
        <v>383</v>
      </c>
      <c r="C339">
        <v>2009</v>
      </c>
      <c r="D339" t="s">
        <v>17</v>
      </c>
      <c r="E339" t="s">
        <v>30</v>
      </c>
      <c r="F339">
        <v>106</v>
      </c>
      <c r="G339" s="2">
        <v>119.5</v>
      </c>
      <c r="H339" s="2">
        <v>471.8</v>
      </c>
      <c r="I339" s="2">
        <v>6.1</v>
      </c>
      <c r="J339" t="s">
        <v>40</v>
      </c>
      <c r="K339" s="2">
        <v>352.3</v>
      </c>
      <c r="L339" s="3">
        <v>294.8</v>
      </c>
    </row>
    <row r="340" spans="1:12" x14ac:dyDescent="0.3">
      <c r="A340">
        <v>339</v>
      </c>
      <c r="B340" t="s">
        <v>384</v>
      </c>
      <c r="C340">
        <v>1995</v>
      </c>
      <c r="D340" t="s">
        <v>65</v>
      </c>
      <c r="E340" t="s">
        <v>22</v>
      </c>
      <c r="F340">
        <v>119</v>
      </c>
      <c r="G340" s="2">
        <v>80</v>
      </c>
      <c r="H340" s="2">
        <v>184.1</v>
      </c>
      <c r="I340" s="2">
        <v>8</v>
      </c>
      <c r="J340" t="s">
        <v>34</v>
      </c>
      <c r="K340" s="2">
        <v>104.1</v>
      </c>
      <c r="L340" s="3">
        <v>130.1</v>
      </c>
    </row>
    <row r="341" spans="1:12" x14ac:dyDescent="0.3">
      <c r="A341">
        <v>340</v>
      </c>
      <c r="B341" t="s">
        <v>385</v>
      </c>
      <c r="C341">
        <v>2017</v>
      </c>
      <c r="D341" t="s">
        <v>17</v>
      </c>
      <c r="E341" t="s">
        <v>22</v>
      </c>
      <c r="F341">
        <v>154</v>
      </c>
      <c r="G341" s="2">
        <v>50.9</v>
      </c>
      <c r="H341" s="2">
        <v>264.2</v>
      </c>
      <c r="I341" s="2">
        <v>5.6</v>
      </c>
      <c r="J341" t="s">
        <v>37</v>
      </c>
      <c r="K341" s="2">
        <v>213.3</v>
      </c>
      <c r="L341" s="3">
        <v>419.1</v>
      </c>
    </row>
    <row r="342" spans="1:12" x14ac:dyDescent="0.3">
      <c r="A342">
        <v>341</v>
      </c>
      <c r="B342" t="s">
        <v>386</v>
      </c>
      <c r="C342">
        <v>2025</v>
      </c>
      <c r="D342" t="s">
        <v>45</v>
      </c>
      <c r="E342" t="s">
        <v>30</v>
      </c>
      <c r="F342">
        <v>103</v>
      </c>
      <c r="G342" s="2">
        <v>58.5</v>
      </c>
      <c r="H342" s="2">
        <v>203.6</v>
      </c>
      <c r="I342" s="2">
        <v>7</v>
      </c>
      <c r="J342" t="s">
        <v>51</v>
      </c>
      <c r="K342" s="2">
        <v>145.1</v>
      </c>
      <c r="L342" s="3">
        <v>248</v>
      </c>
    </row>
    <row r="343" spans="1:12" x14ac:dyDescent="0.3">
      <c r="A343">
        <v>342</v>
      </c>
      <c r="B343" t="s">
        <v>387</v>
      </c>
      <c r="C343">
        <v>2004</v>
      </c>
      <c r="D343" t="s">
        <v>47</v>
      </c>
      <c r="E343" t="s">
        <v>22</v>
      </c>
      <c r="F343">
        <v>145</v>
      </c>
      <c r="G343" s="2">
        <v>65.8</v>
      </c>
      <c r="H343" s="2">
        <v>265.7</v>
      </c>
      <c r="I343" s="2">
        <v>7</v>
      </c>
      <c r="J343" t="s">
        <v>31</v>
      </c>
      <c r="K343" s="2">
        <v>199.9</v>
      </c>
      <c r="L343" s="3">
        <v>303.8</v>
      </c>
    </row>
    <row r="344" spans="1:12" x14ac:dyDescent="0.3">
      <c r="A344">
        <v>343</v>
      </c>
      <c r="B344" t="s">
        <v>388</v>
      </c>
      <c r="C344">
        <v>2009</v>
      </c>
      <c r="D344" t="s">
        <v>13</v>
      </c>
      <c r="E344" t="s">
        <v>127</v>
      </c>
      <c r="F344">
        <v>107</v>
      </c>
      <c r="G344" s="2">
        <v>33.799999999999997</v>
      </c>
      <c r="H344" s="2">
        <v>47.6</v>
      </c>
      <c r="I344" s="2">
        <v>7</v>
      </c>
      <c r="J344" t="s">
        <v>57</v>
      </c>
      <c r="K344" s="2">
        <v>13.8</v>
      </c>
      <c r="L344" s="3">
        <v>40.799999999999997</v>
      </c>
    </row>
    <row r="345" spans="1:12" x14ac:dyDescent="0.3">
      <c r="A345">
        <v>344</v>
      </c>
      <c r="B345" t="s">
        <v>389</v>
      </c>
      <c r="C345">
        <v>1992</v>
      </c>
      <c r="D345" t="s">
        <v>13</v>
      </c>
      <c r="E345" t="s">
        <v>30</v>
      </c>
      <c r="F345">
        <v>107</v>
      </c>
      <c r="G345" s="2">
        <v>88.3</v>
      </c>
      <c r="H345" s="2">
        <v>321</v>
      </c>
      <c r="I345" s="2">
        <v>7.5</v>
      </c>
      <c r="J345" t="s">
        <v>37</v>
      </c>
      <c r="K345" s="2">
        <v>232.7</v>
      </c>
      <c r="L345" s="3">
        <v>263.5</v>
      </c>
    </row>
    <row r="346" spans="1:12" x14ac:dyDescent="0.3">
      <c r="A346">
        <v>345</v>
      </c>
      <c r="B346" t="s">
        <v>390</v>
      </c>
      <c r="C346">
        <v>2002</v>
      </c>
      <c r="D346" t="s">
        <v>36</v>
      </c>
      <c r="E346" t="s">
        <v>22</v>
      </c>
      <c r="F346">
        <v>146</v>
      </c>
      <c r="G346" s="2">
        <v>126.5</v>
      </c>
      <c r="H346" s="2">
        <v>300.3</v>
      </c>
      <c r="I346" s="2">
        <v>6.9</v>
      </c>
      <c r="J346" t="s">
        <v>51</v>
      </c>
      <c r="K346" s="2">
        <v>173.8</v>
      </c>
      <c r="L346" s="3">
        <v>137.4</v>
      </c>
    </row>
    <row r="347" spans="1:12" x14ac:dyDescent="0.3">
      <c r="A347">
        <v>346</v>
      </c>
      <c r="B347" t="s">
        <v>391</v>
      </c>
      <c r="C347">
        <v>1998</v>
      </c>
      <c r="D347" t="s">
        <v>13</v>
      </c>
      <c r="E347" t="s">
        <v>18</v>
      </c>
      <c r="F347">
        <v>109</v>
      </c>
      <c r="G347" s="2">
        <v>22</v>
      </c>
      <c r="H347" s="2">
        <v>50</v>
      </c>
      <c r="I347" s="2">
        <v>6.9</v>
      </c>
      <c r="J347" t="s">
        <v>68</v>
      </c>
      <c r="K347" s="2">
        <v>28</v>
      </c>
      <c r="L347" s="3">
        <v>127.3</v>
      </c>
    </row>
    <row r="348" spans="1:12" x14ac:dyDescent="0.3">
      <c r="A348">
        <v>347</v>
      </c>
      <c r="B348" t="s">
        <v>392</v>
      </c>
      <c r="C348">
        <v>2010</v>
      </c>
      <c r="D348" t="s">
        <v>65</v>
      </c>
      <c r="E348" t="s">
        <v>30</v>
      </c>
      <c r="F348">
        <v>195</v>
      </c>
      <c r="G348" s="2">
        <v>62.5</v>
      </c>
      <c r="H348" s="2">
        <v>56.6</v>
      </c>
      <c r="I348" s="2">
        <v>6.7</v>
      </c>
      <c r="J348" t="s">
        <v>79</v>
      </c>
      <c r="K348" s="2">
        <v>-5.9</v>
      </c>
      <c r="L348" s="3">
        <v>-9.4</v>
      </c>
    </row>
    <row r="349" spans="1:12" x14ac:dyDescent="0.3">
      <c r="A349">
        <v>348</v>
      </c>
      <c r="B349" t="s">
        <v>393</v>
      </c>
      <c r="C349">
        <v>2011</v>
      </c>
      <c r="D349" t="s">
        <v>36</v>
      </c>
      <c r="E349" t="s">
        <v>18</v>
      </c>
      <c r="F349">
        <v>159</v>
      </c>
      <c r="G349" s="2">
        <v>8.4</v>
      </c>
      <c r="H349" s="2">
        <v>7.7</v>
      </c>
      <c r="I349" s="2">
        <v>7.1</v>
      </c>
      <c r="J349" t="s">
        <v>48</v>
      </c>
      <c r="K349" s="2">
        <v>-0.7</v>
      </c>
      <c r="L349" s="3">
        <v>-8.3000000000000007</v>
      </c>
    </row>
    <row r="350" spans="1:12" x14ac:dyDescent="0.3">
      <c r="A350">
        <v>349</v>
      </c>
      <c r="B350" t="s">
        <v>394</v>
      </c>
      <c r="C350">
        <v>1990</v>
      </c>
      <c r="D350" t="s">
        <v>36</v>
      </c>
      <c r="E350" t="s">
        <v>22</v>
      </c>
      <c r="F350">
        <v>143</v>
      </c>
      <c r="G350" s="2">
        <v>57.7</v>
      </c>
      <c r="H350" s="2">
        <v>49.8</v>
      </c>
      <c r="I350" s="2">
        <v>8.4</v>
      </c>
      <c r="J350" t="s">
        <v>34</v>
      </c>
      <c r="K350" s="2">
        <v>-7.9</v>
      </c>
      <c r="L350" s="3">
        <v>-13.7</v>
      </c>
    </row>
    <row r="351" spans="1:12" x14ac:dyDescent="0.3">
      <c r="A351">
        <v>350</v>
      </c>
      <c r="B351" t="s">
        <v>395</v>
      </c>
      <c r="C351">
        <v>2017</v>
      </c>
      <c r="D351" t="s">
        <v>45</v>
      </c>
      <c r="E351" t="s">
        <v>127</v>
      </c>
      <c r="F351">
        <v>127</v>
      </c>
      <c r="G351" s="2">
        <v>50.7</v>
      </c>
      <c r="H351" s="2">
        <v>86.4</v>
      </c>
      <c r="I351" s="2">
        <v>6.5</v>
      </c>
      <c r="J351" t="s">
        <v>23</v>
      </c>
      <c r="K351" s="2">
        <v>35.700000000000003</v>
      </c>
      <c r="L351" s="3">
        <v>70.400000000000006</v>
      </c>
    </row>
    <row r="352" spans="1:12" x14ac:dyDescent="0.3">
      <c r="A352">
        <v>351</v>
      </c>
      <c r="B352" t="s">
        <v>396</v>
      </c>
      <c r="C352">
        <v>2016</v>
      </c>
      <c r="D352" t="s">
        <v>17</v>
      </c>
      <c r="E352" t="s">
        <v>22</v>
      </c>
      <c r="F352">
        <v>118</v>
      </c>
      <c r="G352" s="2">
        <v>73</v>
      </c>
      <c r="H352" s="2">
        <v>348.2</v>
      </c>
      <c r="I352" s="2">
        <v>6.7</v>
      </c>
      <c r="J352" t="s">
        <v>40</v>
      </c>
      <c r="K352" s="2">
        <v>275.2</v>
      </c>
      <c r="L352" s="3">
        <v>377</v>
      </c>
    </row>
    <row r="353" spans="1:12" x14ac:dyDescent="0.3">
      <c r="A353">
        <v>352</v>
      </c>
      <c r="B353" t="s">
        <v>397</v>
      </c>
      <c r="C353">
        <v>2021</v>
      </c>
      <c r="D353" t="s">
        <v>36</v>
      </c>
      <c r="E353" t="s">
        <v>18</v>
      </c>
      <c r="F353">
        <v>139</v>
      </c>
      <c r="G353" s="2">
        <v>10.1</v>
      </c>
      <c r="H353" s="2">
        <v>18.899999999999999</v>
      </c>
      <c r="I353" s="2">
        <v>6.3</v>
      </c>
      <c r="J353" t="s">
        <v>75</v>
      </c>
      <c r="K353" s="2">
        <v>8.8000000000000007</v>
      </c>
      <c r="L353" s="3">
        <v>87.1</v>
      </c>
    </row>
    <row r="354" spans="1:12" x14ac:dyDescent="0.3">
      <c r="A354">
        <v>353</v>
      </c>
      <c r="B354" t="s">
        <v>398</v>
      </c>
      <c r="C354">
        <v>2024</v>
      </c>
      <c r="D354" t="s">
        <v>65</v>
      </c>
      <c r="E354" t="s">
        <v>22</v>
      </c>
      <c r="F354">
        <v>148</v>
      </c>
      <c r="G354" s="2">
        <v>93.4</v>
      </c>
      <c r="H354" s="2">
        <v>294.7</v>
      </c>
      <c r="I354" s="2">
        <v>6.7</v>
      </c>
      <c r="J354" t="s">
        <v>40</v>
      </c>
      <c r="K354" s="2">
        <v>201.3</v>
      </c>
      <c r="L354" s="3">
        <v>215.5</v>
      </c>
    </row>
    <row r="355" spans="1:12" x14ac:dyDescent="0.3">
      <c r="A355">
        <v>354</v>
      </c>
      <c r="B355" t="s">
        <v>399</v>
      </c>
      <c r="C355">
        <v>2011</v>
      </c>
      <c r="D355" t="s">
        <v>65</v>
      </c>
      <c r="E355" t="s">
        <v>22</v>
      </c>
      <c r="F355">
        <v>164</v>
      </c>
      <c r="G355" s="2">
        <v>98.6</v>
      </c>
      <c r="H355" s="2">
        <v>115.7</v>
      </c>
      <c r="I355" s="2">
        <v>6.3</v>
      </c>
      <c r="J355" t="s">
        <v>37</v>
      </c>
      <c r="K355" s="2">
        <v>17.100000000000001</v>
      </c>
      <c r="L355" s="3">
        <v>17.3</v>
      </c>
    </row>
    <row r="356" spans="1:12" x14ac:dyDescent="0.3">
      <c r="A356">
        <v>355</v>
      </c>
      <c r="B356" t="s">
        <v>400</v>
      </c>
      <c r="C356">
        <v>2012</v>
      </c>
      <c r="D356" t="s">
        <v>65</v>
      </c>
      <c r="E356" t="s">
        <v>33</v>
      </c>
      <c r="F356">
        <v>108</v>
      </c>
      <c r="G356" s="2">
        <v>133.9</v>
      </c>
      <c r="H356" s="2">
        <v>288.60000000000002</v>
      </c>
      <c r="I356" s="2">
        <v>6.2</v>
      </c>
      <c r="J356" t="s">
        <v>51</v>
      </c>
      <c r="K356" s="2">
        <v>154.69999999999999</v>
      </c>
      <c r="L356" s="3">
        <v>115.5</v>
      </c>
    </row>
    <row r="357" spans="1:12" x14ac:dyDescent="0.3">
      <c r="A357">
        <v>356</v>
      </c>
      <c r="B357" t="s">
        <v>401</v>
      </c>
      <c r="C357">
        <v>2021</v>
      </c>
      <c r="D357" t="s">
        <v>53</v>
      </c>
      <c r="E357" t="s">
        <v>22</v>
      </c>
      <c r="F357">
        <v>80</v>
      </c>
      <c r="G357" s="2">
        <v>150.4</v>
      </c>
      <c r="H357" s="2">
        <v>127</v>
      </c>
      <c r="I357" s="2">
        <v>8.8000000000000007</v>
      </c>
      <c r="J357" t="s">
        <v>79</v>
      </c>
      <c r="K357" s="2">
        <v>-23.4</v>
      </c>
      <c r="L357" s="3">
        <v>-15.6</v>
      </c>
    </row>
    <row r="358" spans="1:12" x14ac:dyDescent="0.3">
      <c r="A358">
        <v>357</v>
      </c>
      <c r="B358" t="s">
        <v>402</v>
      </c>
      <c r="C358">
        <v>2017</v>
      </c>
      <c r="D358" t="s">
        <v>65</v>
      </c>
      <c r="E358" t="s">
        <v>22</v>
      </c>
      <c r="F358">
        <v>103</v>
      </c>
      <c r="G358" s="2">
        <v>25.9</v>
      </c>
      <c r="H358" s="2">
        <v>72.8</v>
      </c>
      <c r="I358" s="2">
        <v>7.3</v>
      </c>
      <c r="J358" t="s">
        <v>51</v>
      </c>
      <c r="K358" s="2">
        <v>46.9</v>
      </c>
      <c r="L358" s="3">
        <v>181.1</v>
      </c>
    </row>
    <row r="359" spans="1:12" x14ac:dyDescent="0.3">
      <c r="A359">
        <v>358</v>
      </c>
      <c r="B359" t="s">
        <v>403</v>
      </c>
      <c r="C359">
        <v>1998</v>
      </c>
      <c r="D359" t="s">
        <v>65</v>
      </c>
      <c r="E359" t="s">
        <v>22</v>
      </c>
      <c r="F359">
        <v>125</v>
      </c>
      <c r="G359" s="2">
        <v>34.4</v>
      </c>
      <c r="H359" s="2">
        <v>97.1</v>
      </c>
      <c r="I359" s="2">
        <v>8.6</v>
      </c>
      <c r="J359" t="s">
        <v>23</v>
      </c>
      <c r="K359" s="2">
        <v>62.7</v>
      </c>
      <c r="L359" s="3">
        <v>182.3</v>
      </c>
    </row>
    <row r="360" spans="1:12" x14ac:dyDescent="0.3">
      <c r="A360">
        <v>359</v>
      </c>
      <c r="B360" t="s">
        <v>404</v>
      </c>
      <c r="C360">
        <v>2018</v>
      </c>
      <c r="D360" t="s">
        <v>27</v>
      </c>
      <c r="E360" t="s">
        <v>22</v>
      </c>
      <c r="F360">
        <v>116</v>
      </c>
      <c r="G360" s="2">
        <v>67.8</v>
      </c>
      <c r="H360" s="2">
        <v>370.8</v>
      </c>
      <c r="I360" s="2">
        <v>7.1</v>
      </c>
      <c r="J360" t="s">
        <v>51</v>
      </c>
      <c r="K360" s="2">
        <v>303</v>
      </c>
      <c r="L360" s="3">
        <v>446.9</v>
      </c>
    </row>
    <row r="361" spans="1:12" x14ac:dyDescent="0.3">
      <c r="A361">
        <v>360</v>
      </c>
      <c r="B361" t="s">
        <v>405</v>
      </c>
      <c r="C361">
        <v>2018</v>
      </c>
      <c r="D361" t="s">
        <v>27</v>
      </c>
      <c r="E361" t="s">
        <v>18</v>
      </c>
      <c r="F361">
        <v>173</v>
      </c>
      <c r="G361" s="2">
        <v>22.8</v>
      </c>
      <c r="H361" s="2">
        <v>26.2</v>
      </c>
      <c r="I361" s="2">
        <v>6.9</v>
      </c>
      <c r="J361" t="s">
        <v>48</v>
      </c>
      <c r="K361" s="2">
        <v>3.4</v>
      </c>
      <c r="L361" s="3">
        <v>14.9</v>
      </c>
    </row>
    <row r="362" spans="1:12" x14ac:dyDescent="0.3">
      <c r="A362">
        <v>361</v>
      </c>
      <c r="B362" t="s">
        <v>406</v>
      </c>
      <c r="C362">
        <v>1990</v>
      </c>
      <c r="D362" t="s">
        <v>25</v>
      </c>
      <c r="E362" t="s">
        <v>18</v>
      </c>
      <c r="F362">
        <v>148</v>
      </c>
      <c r="G362" s="2">
        <v>10.1</v>
      </c>
      <c r="H362" s="2">
        <v>11.1</v>
      </c>
      <c r="I362" s="2">
        <v>7.7</v>
      </c>
      <c r="J362" t="s">
        <v>48</v>
      </c>
      <c r="K362" s="2">
        <v>1</v>
      </c>
      <c r="L362" s="3">
        <v>9.9</v>
      </c>
    </row>
    <row r="363" spans="1:12" x14ac:dyDescent="0.3">
      <c r="A363">
        <v>362</v>
      </c>
      <c r="B363" t="s">
        <v>407</v>
      </c>
      <c r="C363">
        <v>2017</v>
      </c>
      <c r="D363" t="s">
        <v>45</v>
      </c>
      <c r="E363" t="s">
        <v>18</v>
      </c>
      <c r="F363">
        <v>133</v>
      </c>
      <c r="G363" s="2">
        <v>2.5</v>
      </c>
      <c r="H363" s="2">
        <v>6.9</v>
      </c>
      <c r="I363" s="2">
        <v>6.9</v>
      </c>
      <c r="J363" t="s">
        <v>19</v>
      </c>
      <c r="K363" s="2">
        <v>4.4000000000000004</v>
      </c>
      <c r="L363" s="3">
        <v>176</v>
      </c>
    </row>
    <row r="364" spans="1:12" x14ac:dyDescent="0.3">
      <c r="A364">
        <v>363</v>
      </c>
      <c r="B364" t="s">
        <v>408</v>
      </c>
      <c r="C364">
        <v>2003</v>
      </c>
      <c r="D364" t="s">
        <v>17</v>
      </c>
      <c r="E364" t="s">
        <v>18</v>
      </c>
      <c r="F364">
        <v>124</v>
      </c>
      <c r="G364" s="2">
        <v>10.3</v>
      </c>
      <c r="H364" s="2">
        <v>28.2</v>
      </c>
      <c r="I364" s="2">
        <v>5.9</v>
      </c>
      <c r="J364" t="s">
        <v>59</v>
      </c>
      <c r="K364" s="2">
        <v>17.899999999999999</v>
      </c>
      <c r="L364" s="3">
        <v>173.8</v>
      </c>
    </row>
    <row r="365" spans="1:12" x14ac:dyDescent="0.3">
      <c r="A365">
        <v>364</v>
      </c>
      <c r="B365" t="s">
        <v>409</v>
      </c>
      <c r="C365">
        <v>2025</v>
      </c>
      <c r="D365" t="s">
        <v>47</v>
      </c>
      <c r="E365" t="s">
        <v>22</v>
      </c>
      <c r="F365">
        <v>122</v>
      </c>
      <c r="G365" s="2">
        <v>56.2</v>
      </c>
      <c r="H365" s="2">
        <v>289.60000000000002</v>
      </c>
      <c r="I365" s="2">
        <v>6.5</v>
      </c>
      <c r="J365" t="s">
        <v>91</v>
      </c>
      <c r="K365" s="2">
        <v>233.4</v>
      </c>
      <c r="L365" s="3">
        <v>415.3</v>
      </c>
    </row>
    <row r="366" spans="1:12" x14ac:dyDescent="0.3">
      <c r="A366">
        <v>365</v>
      </c>
      <c r="B366" t="s">
        <v>410</v>
      </c>
      <c r="C366">
        <v>2004</v>
      </c>
      <c r="D366" t="s">
        <v>13</v>
      </c>
      <c r="E366" t="s">
        <v>18</v>
      </c>
      <c r="F366">
        <v>109</v>
      </c>
      <c r="G366" s="2">
        <v>4.9000000000000004</v>
      </c>
      <c r="H366" s="2">
        <v>7</v>
      </c>
      <c r="I366" s="2">
        <v>6.9</v>
      </c>
      <c r="J366" t="s">
        <v>59</v>
      </c>
      <c r="K366" s="2">
        <v>2.1</v>
      </c>
      <c r="L366" s="3">
        <v>42.9</v>
      </c>
    </row>
    <row r="367" spans="1:12" x14ac:dyDescent="0.3">
      <c r="A367">
        <v>366</v>
      </c>
      <c r="B367" t="s">
        <v>411</v>
      </c>
      <c r="C367">
        <v>2000</v>
      </c>
      <c r="D367" t="s">
        <v>45</v>
      </c>
      <c r="E367" t="s">
        <v>18</v>
      </c>
      <c r="F367">
        <v>109</v>
      </c>
      <c r="G367" s="2">
        <v>15.2</v>
      </c>
      <c r="H367" s="2">
        <v>22.4</v>
      </c>
      <c r="I367" s="2">
        <v>7.4</v>
      </c>
      <c r="J367" t="s">
        <v>59</v>
      </c>
      <c r="K367" s="2">
        <v>7.2</v>
      </c>
      <c r="L367" s="3">
        <v>47.4</v>
      </c>
    </row>
    <row r="368" spans="1:12" x14ac:dyDescent="0.3">
      <c r="A368">
        <v>367</v>
      </c>
      <c r="B368" t="s">
        <v>412</v>
      </c>
      <c r="C368">
        <v>2020</v>
      </c>
      <c r="D368" t="s">
        <v>36</v>
      </c>
      <c r="E368" t="s">
        <v>18</v>
      </c>
      <c r="F368">
        <v>83</v>
      </c>
      <c r="G368" s="2">
        <v>47</v>
      </c>
      <c r="H368" s="2">
        <v>87.1</v>
      </c>
      <c r="I368" s="2">
        <v>5.2</v>
      </c>
      <c r="J368" t="s">
        <v>19</v>
      </c>
      <c r="K368" s="2">
        <v>40.1</v>
      </c>
      <c r="L368" s="3">
        <v>85.3</v>
      </c>
    </row>
    <row r="369" spans="1:12" x14ac:dyDescent="0.3">
      <c r="A369">
        <v>368</v>
      </c>
      <c r="B369" t="s">
        <v>413</v>
      </c>
      <c r="C369">
        <v>2021</v>
      </c>
      <c r="D369" t="s">
        <v>17</v>
      </c>
      <c r="E369" t="s">
        <v>22</v>
      </c>
      <c r="F369">
        <v>132</v>
      </c>
      <c r="G369" s="2">
        <v>107.3</v>
      </c>
      <c r="H369" s="2">
        <v>253.6</v>
      </c>
      <c r="I369" s="2">
        <v>6.3</v>
      </c>
      <c r="J369" t="s">
        <v>40</v>
      </c>
      <c r="K369" s="2">
        <v>146.30000000000001</v>
      </c>
      <c r="L369" s="3">
        <v>136.30000000000001</v>
      </c>
    </row>
    <row r="370" spans="1:12" x14ac:dyDescent="0.3">
      <c r="A370">
        <v>369</v>
      </c>
      <c r="B370" t="s">
        <v>414</v>
      </c>
      <c r="C370">
        <v>2017</v>
      </c>
      <c r="D370" t="s">
        <v>13</v>
      </c>
      <c r="E370" t="s">
        <v>66</v>
      </c>
      <c r="F370">
        <v>93</v>
      </c>
      <c r="G370" s="2">
        <v>289.10000000000002</v>
      </c>
      <c r="H370" s="2">
        <v>996.4</v>
      </c>
      <c r="I370" s="2">
        <v>7.2</v>
      </c>
      <c r="J370" t="s">
        <v>37</v>
      </c>
      <c r="K370" s="2">
        <v>707.3</v>
      </c>
      <c r="L370" s="3">
        <v>244.7</v>
      </c>
    </row>
    <row r="371" spans="1:12" x14ac:dyDescent="0.3">
      <c r="A371">
        <v>370</v>
      </c>
      <c r="B371" t="s">
        <v>415</v>
      </c>
      <c r="C371">
        <v>2001</v>
      </c>
      <c r="D371" t="s">
        <v>27</v>
      </c>
      <c r="E371" t="s">
        <v>18</v>
      </c>
      <c r="F371">
        <v>154</v>
      </c>
      <c r="G371" s="2">
        <v>16.100000000000001</v>
      </c>
      <c r="H371" s="2">
        <v>60.7</v>
      </c>
      <c r="I371" s="2">
        <v>6</v>
      </c>
      <c r="J371" t="s">
        <v>59</v>
      </c>
      <c r="K371" s="2">
        <v>44.6</v>
      </c>
      <c r="L371" s="3">
        <v>277</v>
      </c>
    </row>
    <row r="372" spans="1:12" x14ac:dyDescent="0.3">
      <c r="A372">
        <v>371</v>
      </c>
      <c r="B372" t="s">
        <v>416</v>
      </c>
      <c r="C372">
        <v>2019</v>
      </c>
      <c r="D372" t="s">
        <v>53</v>
      </c>
      <c r="E372" t="s">
        <v>22</v>
      </c>
      <c r="F372">
        <v>98</v>
      </c>
      <c r="G372" s="2">
        <v>77.8</v>
      </c>
      <c r="H372" s="2">
        <v>150</v>
      </c>
      <c r="I372" s="2">
        <v>7.6</v>
      </c>
      <c r="J372" t="s">
        <v>57</v>
      </c>
      <c r="K372" s="2">
        <v>72.2</v>
      </c>
      <c r="L372" s="3">
        <v>92.8</v>
      </c>
    </row>
    <row r="373" spans="1:12" x14ac:dyDescent="0.3">
      <c r="A373">
        <v>372</v>
      </c>
      <c r="B373" t="s">
        <v>417</v>
      </c>
      <c r="C373">
        <v>1992</v>
      </c>
      <c r="D373" t="s">
        <v>53</v>
      </c>
      <c r="E373" t="s">
        <v>18</v>
      </c>
      <c r="F373">
        <v>123</v>
      </c>
      <c r="G373" s="2">
        <v>10.8</v>
      </c>
      <c r="H373" s="2">
        <v>11.2</v>
      </c>
      <c r="I373" s="2">
        <v>8.3000000000000007</v>
      </c>
      <c r="J373" t="s">
        <v>48</v>
      </c>
      <c r="K373" s="2">
        <v>0.4</v>
      </c>
      <c r="L373" s="3">
        <v>3.7</v>
      </c>
    </row>
    <row r="374" spans="1:12" x14ac:dyDescent="0.3">
      <c r="A374">
        <v>373</v>
      </c>
      <c r="B374" t="s">
        <v>418</v>
      </c>
      <c r="C374">
        <v>2016</v>
      </c>
      <c r="D374" t="s">
        <v>17</v>
      </c>
      <c r="E374" t="s">
        <v>22</v>
      </c>
      <c r="F374">
        <v>140</v>
      </c>
      <c r="G374" s="2">
        <v>96.6</v>
      </c>
      <c r="H374" s="2">
        <v>264.2</v>
      </c>
      <c r="I374" s="2">
        <v>7.8</v>
      </c>
      <c r="J374" t="s">
        <v>37</v>
      </c>
      <c r="K374" s="2">
        <v>167.6</v>
      </c>
      <c r="L374" s="3">
        <v>173.5</v>
      </c>
    </row>
    <row r="375" spans="1:12" x14ac:dyDescent="0.3">
      <c r="A375">
        <v>374</v>
      </c>
      <c r="B375" t="s">
        <v>419</v>
      </c>
      <c r="C375">
        <v>2022</v>
      </c>
      <c r="D375" t="s">
        <v>27</v>
      </c>
      <c r="E375" t="s">
        <v>22</v>
      </c>
      <c r="F375">
        <v>145</v>
      </c>
      <c r="G375" s="2">
        <v>84.5</v>
      </c>
      <c r="H375" s="2">
        <v>55.5</v>
      </c>
      <c r="I375" s="2">
        <v>5.7</v>
      </c>
      <c r="J375" t="s">
        <v>51</v>
      </c>
      <c r="K375" s="2">
        <v>-29</v>
      </c>
      <c r="L375" s="3">
        <v>-34.299999999999997</v>
      </c>
    </row>
    <row r="376" spans="1:12" x14ac:dyDescent="0.3">
      <c r="A376">
        <v>375</v>
      </c>
      <c r="B376" t="s">
        <v>420</v>
      </c>
      <c r="C376">
        <v>1995</v>
      </c>
      <c r="D376" t="s">
        <v>65</v>
      </c>
      <c r="E376" t="s">
        <v>22</v>
      </c>
      <c r="F376">
        <v>141</v>
      </c>
      <c r="G376" s="2">
        <v>52.2</v>
      </c>
      <c r="H376" s="2">
        <v>187.3</v>
      </c>
      <c r="I376" s="2">
        <v>7.4</v>
      </c>
      <c r="J376" t="s">
        <v>28</v>
      </c>
      <c r="K376" s="2">
        <v>135.1</v>
      </c>
      <c r="L376" s="3">
        <v>258.8</v>
      </c>
    </row>
    <row r="377" spans="1:12" x14ac:dyDescent="0.3">
      <c r="A377">
        <v>376</v>
      </c>
      <c r="B377" t="s">
        <v>421</v>
      </c>
      <c r="C377">
        <v>2000</v>
      </c>
      <c r="D377" t="s">
        <v>47</v>
      </c>
      <c r="E377" t="s">
        <v>39</v>
      </c>
      <c r="F377">
        <v>132</v>
      </c>
      <c r="G377" s="2">
        <v>102.1</v>
      </c>
      <c r="H377" s="2">
        <v>49.4</v>
      </c>
      <c r="I377" s="2">
        <v>8</v>
      </c>
      <c r="J377" t="s">
        <v>51</v>
      </c>
      <c r="K377" s="2">
        <v>-52.7</v>
      </c>
      <c r="L377" s="3">
        <v>-51.6</v>
      </c>
    </row>
    <row r="378" spans="1:12" x14ac:dyDescent="0.3">
      <c r="A378">
        <v>377</v>
      </c>
      <c r="B378" t="s">
        <v>422</v>
      </c>
      <c r="C378">
        <v>2016</v>
      </c>
      <c r="D378" t="s">
        <v>13</v>
      </c>
      <c r="E378" t="s">
        <v>22</v>
      </c>
      <c r="F378">
        <v>117</v>
      </c>
      <c r="G378" s="2">
        <v>148.30000000000001</v>
      </c>
      <c r="H378" s="2">
        <v>74.599999999999994</v>
      </c>
      <c r="I378" s="2">
        <v>6.9</v>
      </c>
      <c r="J378" t="s">
        <v>57</v>
      </c>
      <c r="K378" s="2">
        <v>-73.7</v>
      </c>
      <c r="L378" s="3">
        <v>-49.7</v>
      </c>
    </row>
    <row r="379" spans="1:12" x14ac:dyDescent="0.3">
      <c r="A379">
        <v>378</v>
      </c>
      <c r="B379" t="s">
        <v>423</v>
      </c>
      <c r="C379">
        <v>2011</v>
      </c>
      <c r="D379" t="s">
        <v>25</v>
      </c>
      <c r="E379" t="s">
        <v>127</v>
      </c>
      <c r="F379">
        <v>111</v>
      </c>
      <c r="G379" s="2">
        <v>86.9</v>
      </c>
      <c r="H379" s="2">
        <v>263.8</v>
      </c>
      <c r="I379" s="2">
        <v>8.1</v>
      </c>
      <c r="J379" t="s">
        <v>37</v>
      </c>
      <c r="K379" s="2">
        <v>176.9</v>
      </c>
      <c r="L379" s="3">
        <v>203.6</v>
      </c>
    </row>
    <row r="380" spans="1:12" x14ac:dyDescent="0.3">
      <c r="A380">
        <v>379</v>
      </c>
      <c r="B380" t="s">
        <v>424</v>
      </c>
      <c r="C380">
        <v>2005</v>
      </c>
      <c r="D380" t="s">
        <v>65</v>
      </c>
      <c r="E380" t="s">
        <v>22</v>
      </c>
      <c r="F380">
        <v>128</v>
      </c>
      <c r="G380" s="2">
        <v>66.2</v>
      </c>
      <c r="H380" s="2">
        <v>187.6</v>
      </c>
      <c r="I380" s="2">
        <v>8.6999999999999993</v>
      </c>
      <c r="J380" t="s">
        <v>23</v>
      </c>
      <c r="K380" s="2">
        <v>121.4</v>
      </c>
      <c r="L380" s="3">
        <v>183.4</v>
      </c>
    </row>
    <row r="381" spans="1:12" x14ac:dyDescent="0.3">
      <c r="A381">
        <v>380</v>
      </c>
      <c r="B381" t="s">
        <v>425</v>
      </c>
      <c r="C381">
        <v>2014</v>
      </c>
      <c r="D381" t="s">
        <v>13</v>
      </c>
      <c r="E381" t="s">
        <v>30</v>
      </c>
      <c r="F381">
        <v>112</v>
      </c>
      <c r="G381" s="2">
        <v>85.6</v>
      </c>
      <c r="H381" s="2">
        <v>108.6</v>
      </c>
      <c r="I381" s="2">
        <v>5.2</v>
      </c>
      <c r="J381" t="s">
        <v>34</v>
      </c>
      <c r="K381" s="2">
        <v>23</v>
      </c>
      <c r="L381" s="3">
        <v>26.9</v>
      </c>
    </row>
    <row r="382" spans="1:12" x14ac:dyDescent="0.3">
      <c r="A382">
        <v>381</v>
      </c>
      <c r="B382" t="s">
        <v>426</v>
      </c>
      <c r="C382">
        <v>2010</v>
      </c>
      <c r="D382" t="s">
        <v>21</v>
      </c>
      <c r="E382" t="s">
        <v>127</v>
      </c>
      <c r="F382">
        <v>110</v>
      </c>
      <c r="G382" s="2">
        <v>71.3</v>
      </c>
      <c r="H382" s="2">
        <v>192.6</v>
      </c>
      <c r="I382" s="2">
        <v>8.1999999999999993</v>
      </c>
      <c r="J382" t="s">
        <v>51</v>
      </c>
      <c r="K382" s="2">
        <v>121.3</v>
      </c>
      <c r="L382" s="3">
        <v>170.1</v>
      </c>
    </row>
    <row r="383" spans="1:12" x14ac:dyDescent="0.3">
      <c r="A383">
        <v>382</v>
      </c>
      <c r="B383" t="s">
        <v>427</v>
      </c>
      <c r="C383">
        <v>2007</v>
      </c>
      <c r="D383" t="s">
        <v>25</v>
      </c>
      <c r="E383" t="s">
        <v>66</v>
      </c>
      <c r="F383">
        <v>154</v>
      </c>
      <c r="G383" s="2">
        <v>24.3</v>
      </c>
      <c r="H383" s="2">
        <v>28.4</v>
      </c>
      <c r="I383" s="2">
        <v>7.9</v>
      </c>
      <c r="J383" t="s">
        <v>91</v>
      </c>
      <c r="K383" s="2">
        <v>4.0999999999999996</v>
      </c>
      <c r="L383" s="3">
        <v>16.899999999999999</v>
      </c>
    </row>
    <row r="384" spans="1:12" x14ac:dyDescent="0.3">
      <c r="A384">
        <v>383</v>
      </c>
      <c r="B384" t="s">
        <v>428</v>
      </c>
      <c r="C384">
        <v>1996</v>
      </c>
      <c r="D384" t="s">
        <v>17</v>
      </c>
      <c r="E384" t="s">
        <v>22</v>
      </c>
      <c r="F384">
        <v>174</v>
      </c>
      <c r="G384" s="2">
        <v>43.6</v>
      </c>
      <c r="H384" s="2">
        <v>200.3</v>
      </c>
      <c r="I384" s="2">
        <v>7.6</v>
      </c>
      <c r="J384" t="s">
        <v>51</v>
      </c>
      <c r="K384" s="2">
        <v>156.69999999999999</v>
      </c>
      <c r="L384" s="3">
        <v>359.4</v>
      </c>
    </row>
    <row r="385" spans="1:12" x14ac:dyDescent="0.3">
      <c r="A385">
        <v>384</v>
      </c>
      <c r="B385" t="s">
        <v>429</v>
      </c>
      <c r="C385">
        <v>2004</v>
      </c>
      <c r="D385" t="s">
        <v>47</v>
      </c>
      <c r="E385" t="s">
        <v>39</v>
      </c>
      <c r="F385">
        <v>158</v>
      </c>
      <c r="G385" s="2">
        <v>9.6999999999999993</v>
      </c>
      <c r="H385" s="2">
        <v>13.1</v>
      </c>
      <c r="I385" s="2">
        <v>6.8</v>
      </c>
      <c r="J385" t="s">
        <v>51</v>
      </c>
      <c r="K385" s="2">
        <v>3.4</v>
      </c>
      <c r="L385" s="3">
        <v>35.1</v>
      </c>
    </row>
    <row r="386" spans="1:12" x14ac:dyDescent="0.3">
      <c r="A386">
        <v>385</v>
      </c>
      <c r="B386" t="s">
        <v>430</v>
      </c>
      <c r="C386">
        <v>1991</v>
      </c>
      <c r="D386" t="s">
        <v>53</v>
      </c>
      <c r="E386" t="s">
        <v>39</v>
      </c>
      <c r="F386">
        <v>115</v>
      </c>
      <c r="G386" s="2">
        <v>74.3</v>
      </c>
      <c r="H386" s="2">
        <v>90.5</v>
      </c>
      <c r="I386" s="2">
        <v>7.3</v>
      </c>
      <c r="J386" t="s">
        <v>51</v>
      </c>
      <c r="K386" s="2">
        <v>16.2</v>
      </c>
      <c r="L386" s="3">
        <v>21.8</v>
      </c>
    </row>
    <row r="387" spans="1:12" x14ac:dyDescent="0.3">
      <c r="A387">
        <v>386</v>
      </c>
      <c r="B387" t="s">
        <v>431</v>
      </c>
      <c r="C387">
        <v>2005</v>
      </c>
      <c r="D387" t="s">
        <v>45</v>
      </c>
      <c r="E387" t="s">
        <v>18</v>
      </c>
      <c r="F387">
        <v>143</v>
      </c>
      <c r="G387" s="2">
        <v>10.6</v>
      </c>
      <c r="H387" s="2">
        <v>27.3</v>
      </c>
      <c r="I387" s="2">
        <v>7.3</v>
      </c>
      <c r="J387" t="s">
        <v>59</v>
      </c>
      <c r="K387" s="2">
        <v>16.7</v>
      </c>
      <c r="L387" s="3">
        <v>157.5</v>
      </c>
    </row>
    <row r="388" spans="1:12" x14ac:dyDescent="0.3">
      <c r="A388">
        <v>387</v>
      </c>
      <c r="B388" t="s">
        <v>432</v>
      </c>
      <c r="C388">
        <v>2013</v>
      </c>
      <c r="D388" t="s">
        <v>47</v>
      </c>
      <c r="E388" t="s">
        <v>22</v>
      </c>
      <c r="F388">
        <v>132</v>
      </c>
      <c r="G388" s="2">
        <v>68.7</v>
      </c>
      <c r="H388" s="2">
        <v>217.8</v>
      </c>
      <c r="I388" s="2">
        <v>6.6</v>
      </c>
      <c r="J388" t="s">
        <v>31</v>
      </c>
      <c r="K388" s="2">
        <v>149.1</v>
      </c>
      <c r="L388" s="3">
        <v>217</v>
      </c>
    </row>
    <row r="389" spans="1:12" x14ac:dyDescent="0.3">
      <c r="A389">
        <v>388</v>
      </c>
      <c r="B389" t="s">
        <v>433</v>
      </c>
      <c r="C389">
        <v>2001</v>
      </c>
      <c r="D389" t="s">
        <v>47</v>
      </c>
      <c r="E389" t="s">
        <v>39</v>
      </c>
      <c r="F389">
        <v>120</v>
      </c>
      <c r="G389" s="2">
        <v>39.4</v>
      </c>
      <c r="H389" s="2">
        <v>66.3</v>
      </c>
      <c r="I389" s="2">
        <v>6.9</v>
      </c>
      <c r="J389" t="s">
        <v>23</v>
      </c>
      <c r="K389" s="2">
        <v>26.9</v>
      </c>
      <c r="L389" s="3">
        <v>68.3</v>
      </c>
    </row>
    <row r="390" spans="1:12" x14ac:dyDescent="0.3">
      <c r="A390">
        <v>389</v>
      </c>
      <c r="B390" t="s">
        <v>434</v>
      </c>
      <c r="C390">
        <v>2023</v>
      </c>
      <c r="D390" t="s">
        <v>27</v>
      </c>
      <c r="E390" t="s">
        <v>22</v>
      </c>
      <c r="F390">
        <v>82</v>
      </c>
      <c r="G390" s="2">
        <v>45.9</v>
      </c>
      <c r="H390" s="2">
        <v>215.2</v>
      </c>
      <c r="I390" s="2">
        <v>6</v>
      </c>
      <c r="J390" t="s">
        <v>28</v>
      </c>
      <c r="K390" s="2">
        <v>169.3</v>
      </c>
      <c r="L390" s="3">
        <v>368.8</v>
      </c>
    </row>
    <row r="391" spans="1:12" x14ac:dyDescent="0.3">
      <c r="A391">
        <v>390</v>
      </c>
      <c r="B391" t="s">
        <v>435</v>
      </c>
      <c r="C391">
        <v>2019</v>
      </c>
      <c r="D391" t="s">
        <v>25</v>
      </c>
      <c r="E391" t="s">
        <v>18</v>
      </c>
      <c r="F391">
        <v>98</v>
      </c>
      <c r="G391" s="2">
        <v>8.5</v>
      </c>
      <c r="H391" s="2">
        <v>9</v>
      </c>
      <c r="I391" s="2">
        <v>7.3</v>
      </c>
      <c r="J391" t="s">
        <v>68</v>
      </c>
      <c r="K391" s="2">
        <v>0.5</v>
      </c>
      <c r="L391" s="3">
        <v>5.9</v>
      </c>
    </row>
    <row r="392" spans="1:12" x14ac:dyDescent="0.3">
      <c r="A392">
        <v>391</v>
      </c>
      <c r="B392" t="s">
        <v>436</v>
      </c>
      <c r="C392">
        <v>2011</v>
      </c>
      <c r="D392" t="s">
        <v>53</v>
      </c>
      <c r="E392" t="s">
        <v>18</v>
      </c>
      <c r="F392">
        <v>138</v>
      </c>
      <c r="G392" s="2">
        <v>22.7</v>
      </c>
      <c r="H392" s="2">
        <v>42.7</v>
      </c>
      <c r="I392" s="2">
        <v>7</v>
      </c>
      <c r="J392" t="s">
        <v>75</v>
      </c>
      <c r="K392" s="2">
        <v>20</v>
      </c>
      <c r="L392" s="3">
        <v>88.1</v>
      </c>
    </row>
    <row r="393" spans="1:12" x14ac:dyDescent="0.3">
      <c r="A393">
        <v>392</v>
      </c>
      <c r="B393" t="s">
        <v>437</v>
      </c>
      <c r="C393">
        <v>1999</v>
      </c>
      <c r="D393" t="s">
        <v>27</v>
      </c>
      <c r="E393" t="s">
        <v>22</v>
      </c>
      <c r="F393">
        <v>94</v>
      </c>
      <c r="G393" s="2">
        <v>57.6</v>
      </c>
      <c r="H393" s="2">
        <v>327</v>
      </c>
      <c r="I393" s="2">
        <v>8</v>
      </c>
      <c r="J393" t="s">
        <v>23</v>
      </c>
      <c r="K393" s="2">
        <v>269.39999999999998</v>
      </c>
      <c r="L393" s="3">
        <v>467.7</v>
      </c>
    </row>
    <row r="394" spans="1:12" x14ac:dyDescent="0.3">
      <c r="A394">
        <v>393</v>
      </c>
      <c r="B394" t="s">
        <v>438</v>
      </c>
      <c r="C394">
        <v>2023</v>
      </c>
      <c r="D394" t="s">
        <v>27</v>
      </c>
      <c r="E394" t="s">
        <v>39</v>
      </c>
      <c r="F394">
        <v>98</v>
      </c>
      <c r="G394" s="2">
        <v>101.1</v>
      </c>
      <c r="H394" s="2">
        <v>69.599999999999994</v>
      </c>
      <c r="I394" s="2">
        <v>7.3</v>
      </c>
      <c r="J394" t="s">
        <v>28</v>
      </c>
      <c r="K394" s="2">
        <v>-31.5</v>
      </c>
      <c r="L394" s="3">
        <v>-31.2</v>
      </c>
    </row>
    <row r="395" spans="1:12" x14ac:dyDescent="0.3">
      <c r="A395">
        <v>394</v>
      </c>
      <c r="B395" t="s">
        <v>439</v>
      </c>
      <c r="C395">
        <v>2021</v>
      </c>
      <c r="D395" t="s">
        <v>47</v>
      </c>
      <c r="E395" t="s">
        <v>22</v>
      </c>
      <c r="F395">
        <v>99</v>
      </c>
      <c r="G395" s="2">
        <v>9.6</v>
      </c>
      <c r="H395" s="2">
        <v>41.2</v>
      </c>
      <c r="I395" s="2">
        <v>8.9</v>
      </c>
      <c r="J395" t="s">
        <v>31</v>
      </c>
      <c r="K395" s="2">
        <v>31.6</v>
      </c>
      <c r="L395" s="3">
        <v>329.2</v>
      </c>
    </row>
    <row r="396" spans="1:12" x14ac:dyDescent="0.3">
      <c r="A396">
        <v>395</v>
      </c>
      <c r="B396" t="s">
        <v>440</v>
      </c>
      <c r="C396">
        <v>2001</v>
      </c>
      <c r="D396" t="s">
        <v>27</v>
      </c>
      <c r="E396" t="s">
        <v>18</v>
      </c>
      <c r="F396">
        <v>117</v>
      </c>
      <c r="G396" s="2">
        <v>14.4</v>
      </c>
      <c r="H396" s="2">
        <v>44.9</v>
      </c>
      <c r="I396" s="2">
        <v>7.5</v>
      </c>
      <c r="J396" t="s">
        <v>59</v>
      </c>
      <c r="K396" s="2">
        <v>30.5</v>
      </c>
      <c r="L396" s="3">
        <v>211.8</v>
      </c>
    </row>
    <row r="397" spans="1:12" x14ac:dyDescent="0.3">
      <c r="A397">
        <v>396</v>
      </c>
      <c r="B397" t="s">
        <v>441</v>
      </c>
      <c r="C397">
        <v>2002</v>
      </c>
      <c r="D397" t="s">
        <v>47</v>
      </c>
      <c r="E397" t="s">
        <v>18</v>
      </c>
      <c r="F397">
        <v>75</v>
      </c>
      <c r="G397" s="2">
        <v>9.1999999999999993</v>
      </c>
      <c r="H397" s="2">
        <v>29.1</v>
      </c>
      <c r="I397" s="2">
        <v>9.5</v>
      </c>
      <c r="J397" t="s">
        <v>48</v>
      </c>
      <c r="K397" s="2">
        <v>19.899999999999999</v>
      </c>
      <c r="L397" s="3">
        <v>216.3</v>
      </c>
    </row>
    <row r="398" spans="1:12" x14ac:dyDescent="0.3">
      <c r="A398">
        <v>397</v>
      </c>
      <c r="B398" t="s">
        <v>442</v>
      </c>
      <c r="C398">
        <v>1993</v>
      </c>
      <c r="D398" t="s">
        <v>21</v>
      </c>
      <c r="E398" t="s">
        <v>39</v>
      </c>
      <c r="F398">
        <v>130</v>
      </c>
      <c r="G398" s="2">
        <v>55.1</v>
      </c>
      <c r="H398" s="2">
        <v>158.6</v>
      </c>
      <c r="I398" s="2">
        <v>7.9</v>
      </c>
      <c r="J398" t="s">
        <v>51</v>
      </c>
      <c r="K398" s="2">
        <v>103.5</v>
      </c>
      <c r="L398" s="3">
        <v>187.8</v>
      </c>
    </row>
    <row r="399" spans="1:12" x14ac:dyDescent="0.3">
      <c r="A399">
        <v>398</v>
      </c>
      <c r="B399" t="s">
        <v>443</v>
      </c>
      <c r="C399">
        <v>2021</v>
      </c>
      <c r="D399" t="s">
        <v>53</v>
      </c>
      <c r="E399" t="s">
        <v>66</v>
      </c>
      <c r="F399">
        <v>120</v>
      </c>
      <c r="G399" s="2">
        <v>162</v>
      </c>
      <c r="H399" s="2">
        <v>271.10000000000002</v>
      </c>
      <c r="I399" s="2">
        <v>6.6</v>
      </c>
      <c r="J399" t="s">
        <v>51</v>
      </c>
      <c r="K399" s="2">
        <v>109.1</v>
      </c>
      <c r="L399" s="3">
        <v>67.3</v>
      </c>
    </row>
    <row r="400" spans="1:12" x14ac:dyDescent="0.3">
      <c r="A400">
        <v>399</v>
      </c>
      <c r="B400" t="s">
        <v>444</v>
      </c>
      <c r="C400">
        <v>2001</v>
      </c>
      <c r="D400" t="s">
        <v>17</v>
      </c>
      <c r="E400" t="s">
        <v>30</v>
      </c>
      <c r="F400">
        <v>97</v>
      </c>
      <c r="G400" s="2">
        <v>108.4</v>
      </c>
      <c r="H400" s="2">
        <v>165.9</v>
      </c>
      <c r="I400" s="2">
        <v>6.8</v>
      </c>
      <c r="J400" t="s">
        <v>31</v>
      </c>
      <c r="K400" s="2">
        <v>57.5</v>
      </c>
      <c r="L400" s="3">
        <v>53</v>
      </c>
    </row>
    <row r="401" spans="1:12" x14ac:dyDescent="0.3">
      <c r="A401">
        <v>400</v>
      </c>
      <c r="B401" t="s">
        <v>445</v>
      </c>
      <c r="C401">
        <v>2011</v>
      </c>
      <c r="D401" t="s">
        <v>36</v>
      </c>
      <c r="E401" t="s">
        <v>66</v>
      </c>
      <c r="F401">
        <v>138</v>
      </c>
      <c r="G401" s="2">
        <v>24.2</v>
      </c>
      <c r="H401" s="2">
        <v>34.6</v>
      </c>
      <c r="I401" s="2">
        <v>6.6</v>
      </c>
      <c r="J401" t="s">
        <v>31</v>
      </c>
      <c r="K401" s="2">
        <v>10.4</v>
      </c>
      <c r="L401" s="3">
        <v>43</v>
      </c>
    </row>
    <row r="402" spans="1:12" x14ac:dyDescent="0.3">
      <c r="A402">
        <v>401</v>
      </c>
      <c r="B402" t="s">
        <v>446</v>
      </c>
      <c r="C402">
        <v>1990</v>
      </c>
      <c r="D402" t="s">
        <v>65</v>
      </c>
      <c r="E402" t="s">
        <v>22</v>
      </c>
      <c r="F402">
        <v>128</v>
      </c>
      <c r="G402" s="2">
        <v>100</v>
      </c>
      <c r="H402" s="2">
        <v>336.2</v>
      </c>
      <c r="I402" s="2">
        <v>7.5</v>
      </c>
      <c r="J402" t="s">
        <v>79</v>
      </c>
      <c r="K402" s="2">
        <v>236.2</v>
      </c>
      <c r="L402" s="3">
        <v>236.2</v>
      </c>
    </row>
    <row r="403" spans="1:12" x14ac:dyDescent="0.3">
      <c r="A403">
        <v>402</v>
      </c>
      <c r="B403" t="s">
        <v>447</v>
      </c>
      <c r="C403">
        <v>2017</v>
      </c>
      <c r="D403" t="s">
        <v>36</v>
      </c>
      <c r="E403" t="s">
        <v>22</v>
      </c>
      <c r="F403">
        <v>159</v>
      </c>
      <c r="G403" s="2">
        <v>69</v>
      </c>
      <c r="H403" s="2">
        <v>210.3</v>
      </c>
      <c r="I403" s="2">
        <v>8.6</v>
      </c>
      <c r="J403" t="s">
        <v>34</v>
      </c>
      <c r="K403" s="2">
        <v>141.30000000000001</v>
      </c>
      <c r="L403" s="3">
        <v>204.8</v>
      </c>
    </row>
    <row r="404" spans="1:12" x14ac:dyDescent="0.3">
      <c r="A404">
        <v>403</v>
      </c>
      <c r="B404" t="s">
        <v>448</v>
      </c>
      <c r="C404">
        <v>2002</v>
      </c>
      <c r="D404" t="s">
        <v>36</v>
      </c>
      <c r="E404" t="s">
        <v>22</v>
      </c>
      <c r="F404">
        <v>110</v>
      </c>
      <c r="G404" s="2">
        <v>28.3</v>
      </c>
      <c r="H404" s="2">
        <v>66.099999999999994</v>
      </c>
      <c r="I404" s="2">
        <v>7.8</v>
      </c>
      <c r="J404" t="s">
        <v>34</v>
      </c>
      <c r="K404" s="2">
        <v>37.799999999999997</v>
      </c>
      <c r="L404" s="3">
        <v>133.6</v>
      </c>
    </row>
    <row r="405" spans="1:12" x14ac:dyDescent="0.3">
      <c r="A405">
        <v>404</v>
      </c>
      <c r="B405" t="s">
        <v>449</v>
      </c>
      <c r="C405">
        <v>1999</v>
      </c>
      <c r="D405" t="s">
        <v>36</v>
      </c>
      <c r="E405" t="s">
        <v>22</v>
      </c>
      <c r="F405">
        <v>130</v>
      </c>
      <c r="G405" s="2">
        <v>111.8</v>
      </c>
      <c r="H405" s="2">
        <v>433.3</v>
      </c>
      <c r="I405" s="2">
        <v>6.7</v>
      </c>
      <c r="J405" t="s">
        <v>31</v>
      </c>
      <c r="K405" s="2">
        <v>321.5</v>
      </c>
      <c r="L405" s="3">
        <v>287.60000000000002</v>
      </c>
    </row>
    <row r="406" spans="1:12" x14ac:dyDescent="0.3">
      <c r="A406">
        <v>405</v>
      </c>
      <c r="B406" t="s">
        <v>450</v>
      </c>
      <c r="C406">
        <v>1990</v>
      </c>
      <c r="D406" t="s">
        <v>36</v>
      </c>
      <c r="E406" t="s">
        <v>18</v>
      </c>
      <c r="F406">
        <v>110</v>
      </c>
      <c r="G406" s="2">
        <v>15.4</v>
      </c>
      <c r="H406" s="2">
        <v>31.1</v>
      </c>
      <c r="I406" s="2">
        <v>6.4</v>
      </c>
      <c r="J406" t="s">
        <v>68</v>
      </c>
      <c r="K406" s="2">
        <v>15.7</v>
      </c>
      <c r="L406" s="3">
        <v>101.9</v>
      </c>
    </row>
    <row r="407" spans="1:12" x14ac:dyDescent="0.3">
      <c r="A407">
        <v>406</v>
      </c>
      <c r="B407" t="s">
        <v>451</v>
      </c>
      <c r="C407">
        <v>1990</v>
      </c>
      <c r="D407" t="s">
        <v>17</v>
      </c>
      <c r="E407" t="s">
        <v>22</v>
      </c>
      <c r="F407">
        <v>111</v>
      </c>
      <c r="G407" s="2">
        <v>43.5</v>
      </c>
      <c r="H407" s="2">
        <v>186</v>
      </c>
      <c r="I407" s="2">
        <v>7.4</v>
      </c>
      <c r="J407" t="s">
        <v>23</v>
      </c>
      <c r="K407" s="2">
        <v>142.5</v>
      </c>
      <c r="L407" s="3">
        <v>327.60000000000002</v>
      </c>
    </row>
    <row r="408" spans="1:12" x14ac:dyDescent="0.3">
      <c r="A408">
        <v>407</v>
      </c>
      <c r="B408" t="s">
        <v>452</v>
      </c>
      <c r="C408">
        <v>2021</v>
      </c>
      <c r="D408" t="s">
        <v>17</v>
      </c>
      <c r="E408" t="s">
        <v>30</v>
      </c>
      <c r="F408">
        <v>127</v>
      </c>
      <c r="G408" s="2">
        <v>171.8</v>
      </c>
      <c r="H408" s="2">
        <v>736.6</v>
      </c>
      <c r="I408" s="2">
        <v>6.5</v>
      </c>
      <c r="J408" t="s">
        <v>51</v>
      </c>
      <c r="K408" s="2">
        <v>564.79999999999995</v>
      </c>
      <c r="L408" s="3">
        <v>328.8</v>
      </c>
    </row>
    <row r="409" spans="1:12" x14ac:dyDescent="0.3">
      <c r="A409">
        <v>408</v>
      </c>
      <c r="B409" t="s">
        <v>453</v>
      </c>
      <c r="C409">
        <v>2010</v>
      </c>
      <c r="D409" t="s">
        <v>21</v>
      </c>
      <c r="E409" t="s">
        <v>127</v>
      </c>
      <c r="F409">
        <v>94</v>
      </c>
      <c r="G409" s="2">
        <v>28.6</v>
      </c>
      <c r="H409" s="2">
        <v>54.7</v>
      </c>
      <c r="I409" s="2">
        <v>7.6</v>
      </c>
      <c r="J409" t="s">
        <v>57</v>
      </c>
      <c r="K409" s="2">
        <v>26.1</v>
      </c>
      <c r="L409" s="3">
        <v>91.3</v>
      </c>
    </row>
    <row r="410" spans="1:12" x14ac:dyDescent="0.3">
      <c r="A410">
        <v>409</v>
      </c>
      <c r="B410" t="s">
        <v>454</v>
      </c>
      <c r="C410">
        <v>1993</v>
      </c>
      <c r="D410" t="s">
        <v>65</v>
      </c>
      <c r="E410" t="s">
        <v>18</v>
      </c>
      <c r="F410">
        <v>146</v>
      </c>
      <c r="G410" s="2">
        <v>36.200000000000003</v>
      </c>
      <c r="H410" s="2">
        <v>96.9</v>
      </c>
      <c r="I410" s="2">
        <v>6.1</v>
      </c>
      <c r="J410" t="s">
        <v>48</v>
      </c>
      <c r="K410" s="2">
        <v>60.7</v>
      </c>
      <c r="L410" s="3">
        <v>167.7</v>
      </c>
    </row>
    <row r="411" spans="1:12" x14ac:dyDescent="0.3">
      <c r="A411">
        <v>410</v>
      </c>
      <c r="B411" t="s">
        <v>455</v>
      </c>
      <c r="C411">
        <v>2017</v>
      </c>
      <c r="D411" t="s">
        <v>13</v>
      </c>
      <c r="E411" t="s">
        <v>22</v>
      </c>
      <c r="F411">
        <v>93</v>
      </c>
      <c r="G411" s="2">
        <v>83.2</v>
      </c>
      <c r="H411" s="2">
        <v>339.8</v>
      </c>
      <c r="I411" s="2">
        <v>7.1</v>
      </c>
      <c r="J411" t="s">
        <v>28</v>
      </c>
      <c r="K411" s="2">
        <v>256.60000000000002</v>
      </c>
      <c r="L411" s="3">
        <v>308.39999999999998</v>
      </c>
    </row>
    <row r="412" spans="1:12" x14ac:dyDescent="0.3">
      <c r="A412">
        <v>411</v>
      </c>
      <c r="B412" t="s">
        <v>456</v>
      </c>
      <c r="C412">
        <v>1993</v>
      </c>
      <c r="D412" t="s">
        <v>13</v>
      </c>
      <c r="E412" t="s">
        <v>22</v>
      </c>
      <c r="F412">
        <v>97</v>
      </c>
      <c r="G412" s="2">
        <v>81.3</v>
      </c>
      <c r="H412" s="2">
        <v>341.2</v>
      </c>
      <c r="I412" s="2">
        <v>7.2</v>
      </c>
      <c r="J412" t="s">
        <v>28</v>
      </c>
      <c r="K412" s="2">
        <v>259.89999999999998</v>
      </c>
      <c r="L412" s="3">
        <v>319.7</v>
      </c>
    </row>
    <row r="413" spans="1:12" x14ac:dyDescent="0.3">
      <c r="A413">
        <v>412</v>
      </c>
      <c r="B413" t="s">
        <v>457</v>
      </c>
      <c r="C413">
        <v>2013</v>
      </c>
      <c r="D413" t="s">
        <v>27</v>
      </c>
      <c r="E413" t="s">
        <v>14</v>
      </c>
      <c r="F413">
        <v>75</v>
      </c>
      <c r="G413" s="2">
        <v>42.9</v>
      </c>
      <c r="H413" s="2">
        <v>45.5</v>
      </c>
      <c r="I413" s="2">
        <v>6.3</v>
      </c>
      <c r="J413" t="s">
        <v>15</v>
      </c>
      <c r="K413" s="2">
        <v>2.6</v>
      </c>
      <c r="L413" s="3">
        <v>6.1</v>
      </c>
    </row>
    <row r="414" spans="1:12" x14ac:dyDescent="0.3">
      <c r="A414">
        <v>413</v>
      </c>
      <c r="B414" t="s">
        <v>458</v>
      </c>
      <c r="C414">
        <v>2016</v>
      </c>
      <c r="D414" t="s">
        <v>25</v>
      </c>
      <c r="E414" t="s">
        <v>22</v>
      </c>
      <c r="F414">
        <v>101</v>
      </c>
      <c r="G414" s="2">
        <v>241</v>
      </c>
      <c r="H414" s="2">
        <v>553.6</v>
      </c>
      <c r="I414" s="2">
        <v>6.9</v>
      </c>
      <c r="J414" t="s">
        <v>91</v>
      </c>
      <c r="K414" s="2">
        <v>312.60000000000002</v>
      </c>
      <c r="L414" s="3">
        <v>129.69999999999999</v>
      </c>
    </row>
    <row r="415" spans="1:12" x14ac:dyDescent="0.3">
      <c r="A415">
        <v>414</v>
      </c>
      <c r="B415" t="s">
        <v>459</v>
      </c>
      <c r="C415">
        <v>1990</v>
      </c>
      <c r="D415" t="s">
        <v>27</v>
      </c>
      <c r="E415" t="s">
        <v>33</v>
      </c>
      <c r="F415">
        <v>139</v>
      </c>
      <c r="G415" s="2">
        <v>77</v>
      </c>
      <c r="H415" s="2">
        <v>105.5</v>
      </c>
      <c r="I415" s="2">
        <v>7.3</v>
      </c>
      <c r="J415" t="s">
        <v>91</v>
      </c>
      <c r="K415" s="2">
        <v>28.5</v>
      </c>
      <c r="L415" s="3">
        <v>37</v>
      </c>
    </row>
    <row r="416" spans="1:12" x14ac:dyDescent="0.3">
      <c r="A416">
        <v>415</v>
      </c>
      <c r="B416" t="s">
        <v>460</v>
      </c>
      <c r="C416">
        <v>2022</v>
      </c>
      <c r="D416" t="s">
        <v>25</v>
      </c>
      <c r="E416" t="s">
        <v>30</v>
      </c>
      <c r="F416">
        <v>144</v>
      </c>
      <c r="G416" s="2">
        <v>181.9</v>
      </c>
      <c r="H416" s="2">
        <v>569.1</v>
      </c>
      <c r="I416" s="2">
        <v>5.7</v>
      </c>
      <c r="J416" t="s">
        <v>31</v>
      </c>
      <c r="K416" s="2">
        <v>387.2</v>
      </c>
      <c r="L416" s="3">
        <v>212.9</v>
      </c>
    </row>
    <row r="417" spans="1:12" x14ac:dyDescent="0.3">
      <c r="A417">
        <v>416</v>
      </c>
      <c r="B417" t="s">
        <v>461</v>
      </c>
      <c r="C417">
        <v>2012</v>
      </c>
      <c r="D417" t="s">
        <v>45</v>
      </c>
      <c r="E417" t="s">
        <v>30</v>
      </c>
      <c r="F417">
        <v>94</v>
      </c>
      <c r="G417" s="2">
        <v>112.6</v>
      </c>
      <c r="H417" s="2">
        <v>232.9</v>
      </c>
      <c r="I417" s="2">
        <v>7.4</v>
      </c>
      <c r="J417" t="s">
        <v>28</v>
      </c>
      <c r="K417" s="2">
        <v>120.3</v>
      </c>
      <c r="L417" s="3">
        <v>106.8</v>
      </c>
    </row>
    <row r="418" spans="1:12" x14ac:dyDescent="0.3">
      <c r="A418">
        <v>417</v>
      </c>
      <c r="B418" t="s">
        <v>462</v>
      </c>
      <c r="C418">
        <v>2014</v>
      </c>
      <c r="D418" t="s">
        <v>53</v>
      </c>
      <c r="E418" t="s">
        <v>22</v>
      </c>
      <c r="F418">
        <v>106</v>
      </c>
      <c r="G418" s="2">
        <v>54</v>
      </c>
      <c r="H418" s="2">
        <v>129.5</v>
      </c>
      <c r="I418" s="2">
        <v>7.4</v>
      </c>
      <c r="J418" t="s">
        <v>40</v>
      </c>
      <c r="K418" s="2">
        <v>75.5</v>
      </c>
      <c r="L418" s="3">
        <v>139.80000000000001</v>
      </c>
    </row>
    <row r="419" spans="1:12" x14ac:dyDescent="0.3">
      <c r="A419">
        <v>418</v>
      </c>
      <c r="B419" t="s">
        <v>463</v>
      </c>
      <c r="C419">
        <v>1991</v>
      </c>
      <c r="D419" t="s">
        <v>36</v>
      </c>
      <c r="E419" t="s">
        <v>22</v>
      </c>
      <c r="F419">
        <v>119</v>
      </c>
      <c r="G419" s="2">
        <v>78.900000000000006</v>
      </c>
      <c r="H419" s="2">
        <v>121.8</v>
      </c>
      <c r="I419" s="2">
        <v>6</v>
      </c>
      <c r="J419" t="s">
        <v>37</v>
      </c>
      <c r="K419" s="2">
        <v>42.9</v>
      </c>
      <c r="L419" s="3">
        <v>54.4</v>
      </c>
    </row>
    <row r="420" spans="1:12" x14ac:dyDescent="0.3">
      <c r="A420">
        <v>419</v>
      </c>
      <c r="B420" t="s">
        <v>464</v>
      </c>
      <c r="C420">
        <v>2017</v>
      </c>
      <c r="D420" t="s">
        <v>21</v>
      </c>
      <c r="E420" t="s">
        <v>22</v>
      </c>
      <c r="F420">
        <v>77</v>
      </c>
      <c r="G420" s="2">
        <v>34.1</v>
      </c>
      <c r="H420" s="2">
        <v>23.8</v>
      </c>
      <c r="I420" s="2">
        <v>7.2</v>
      </c>
      <c r="J420" t="s">
        <v>79</v>
      </c>
      <c r="K420" s="2">
        <v>-10.3</v>
      </c>
      <c r="L420" s="3">
        <v>-30.2</v>
      </c>
    </row>
    <row r="421" spans="1:12" x14ac:dyDescent="0.3">
      <c r="A421">
        <v>420</v>
      </c>
      <c r="B421" t="s">
        <v>465</v>
      </c>
      <c r="C421">
        <v>2011</v>
      </c>
      <c r="D421" t="s">
        <v>13</v>
      </c>
      <c r="E421" t="s">
        <v>18</v>
      </c>
      <c r="F421">
        <v>117</v>
      </c>
      <c r="G421" s="2">
        <v>27</v>
      </c>
      <c r="H421" s="2">
        <v>73.400000000000006</v>
      </c>
      <c r="I421" s="2">
        <v>6.7</v>
      </c>
      <c r="J421" t="s">
        <v>75</v>
      </c>
      <c r="K421" s="2">
        <v>46.4</v>
      </c>
      <c r="L421" s="3">
        <v>171.9</v>
      </c>
    </row>
    <row r="422" spans="1:12" x14ac:dyDescent="0.3">
      <c r="A422">
        <v>421</v>
      </c>
      <c r="B422" t="s">
        <v>466</v>
      </c>
      <c r="C422">
        <v>2024</v>
      </c>
      <c r="D422" t="s">
        <v>65</v>
      </c>
      <c r="E422" t="s">
        <v>22</v>
      </c>
      <c r="F422">
        <v>98</v>
      </c>
      <c r="G422" s="2">
        <v>40.299999999999997</v>
      </c>
      <c r="H422" s="2">
        <v>28.9</v>
      </c>
      <c r="I422" s="2">
        <v>5.7</v>
      </c>
      <c r="J422" t="s">
        <v>57</v>
      </c>
      <c r="K422" s="2">
        <v>-11.4</v>
      </c>
      <c r="L422" s="3">
        <v>-28.3</v>
      </c>
    </row>
    <row r="423" spans="1:12" x14ac:dyDescent="0.3">
      <c r="A423">
        <v>422</v>
      </c>
      <c r="B423" t="s">
        <v>467</v>
      </c>
      <c r="C423">
        <v>1995</v>
      </c>
      <c r="D423" t="s">
        <v>17</v>
      </c>
      <c r="E423" t="s">
        <v>22</v>
      </c>
      <c r="F423">
        <v>75</v>
      </c>
      <c r="G423" s="2">
        <v>93.5</v>
      </c>
      <c r="H423" s="2">
        <v>220.1</v>
      </c>
      <c r="I423" s="2">
        <v>7.5</v>
      </c>
      <c r="J423" t="s">
        <v>28</v>
      </c>
      <c r="K423" s="2">
        <v>126.6</v>
      </c>
      <c r="L423" s="3">
        <v>135.4</v>
      </c>
    </row>
    <row r="424" spans="1:12" x14ac:dyDescent="0.3">
      <c r="A424">
        <v>423</v>
      </c>
      <c r="B424" t="s">
        <v>468</v>
      </c>
      <c r="C424">
        <v>2020</v>
      </c>
      <c r="D424" t="s">
        <v>65</v>
      </c>
      <c r="E424" t="s">
        <v>18</v>
      </c>
      <c r="F424">
        <v>133</v>
      </c>
      <c r="G424" s="2">
        <v>52.1</v>
      </c>
      <c r="H424" s="2">
        <v>21.6</v>
      </c>
      <c r="I424" s="2">
        <v>4.9000000000000004</v>
      </c>
      <c r="J424" t="s">
        <v>75</v>
      </c>
      <c r="K424" s="2">
        <v>-30.5</v>
      </c>
      <c r="L424" s="3">
        <v>-58.5</v>
      </c>
    </row>
    <row r="425" spans="1:12" x14ac:dyDescent="0.3">
      <c r="A425">
        <v>424</v>
      </c>
      <c r="B425" t="s">
        <v>469</v>
      </c>
      <c r="C425">
        <v>1995</v>
      </c>
      <c r="D425" t="s">
        <v>45</v>
      </c>
      <c r="E425" t="s">
        <v>18</v>
      </c>
      <c r="F425">
        <v>108</v>
      </c>
      <c r="G425" s="2">
        <v>9.3000000000000007</v>
      </c>
      <c r="H425" s="2">
        <v>14.9</v>
      </c>
      <c r="I425" s="2">
        <v>7.3</v>
      </c>
      <c r="J425" t="s">
        <v>19</v>
      </c>
      <c r="K425" s="2">
        <v>5.6</v>
      </c>
      <c r="L425" s="3">
        <v>60.2</v>
      </c>
    </row>
    <row r="426" spans="1:12" x14ac:dyDescent="0.3">
      <c r="A426">
        <v>425</v>
      </c>
      <c r="B426" t="s">
        <v>470</v>
      </c>
      <c r="C426">
        <v>2004</v>
      </c>
      <c r="D426" t="s">
        <v>17</v>
      </c>
      <c r="E426" t="s">
        <v>66</v>
      </c>
      <c r="F426">
        <v>142</v>
      </c>
      <c r="G426" s="2">
        <v>14</v>
      </c>
      <c r="H426" s="2">
        <v>34.200000000000003</v>
      </c>
      <c r="I426" s="2">
        <v>7.5</v>
      </c>
      <c r="J426" t="s">
        <v>23</v>
      </c>
      <c r="K426" s="2">
        <v>20.2</v>
      </c>
      <c r="L426" s="3">
        <v>144.30000000000001</v>
      </c>
    </row>
    <row r="427" spans="1:12" x14ac:dyDescent="0.3">
      <c r="A427">
        <v>426</v>
      </c>
      <c r="B427" t="s">
        <v>471</v>
      </c>
      <c r="C427">
        <v>2006</v>
      </c>
      <c r="D427" t="s">
        <v>53</v>
      </c>
      <c r="E427" t="s">
        <v>18</v>
      </c>
      <c r="F427">
        <v>135</v>
      </c>
      <c r="G427" s="2">
        <v>44.1</v>
      </c>
      <c r="H427" s="2">
        <v>87.4</v>
      </c>
      <c r="I427" s="2">
        <v>6.3</v>
      </c>
      <c r="J427" t="s">
        <v>68</v>
      </c>
      <c r="K427" s="2">
        <v>43.3</v>
      </c>
      <c r="L427" s="3">
        <v>98.2</v>
      </c>
    </row>
    <row r="428" spans="1:12" x14ac:dyDescent="0.3">
      <c r="A428">
        <v>427</v>
      </c>
      <c r="B428" t="s">
        <v>472</v>
      </c>
      <c r="C428">
        <v>2004</v>
      </c>
      <c r="D428" t="s">
        <v>65</v>
      </c>
      <c r="E428" t="s">
        <v>22</v>
      </c>
      <c r="F428">
        <v>95</v>
      </c>
      <c r="G428" s="2">
        <v>52.2</v>
      </c>
      <c r="H428" s="2">
        <v>168.1</v>
      </c>
      <c r="I428" s="2">
        <v>5.7</v>
      </c>
      <c r="J428" t="s">
        <v>31</v>
      </c>
      <c r="K428" s="2">
        <v>115.9</v>
      </c>
      <c r="L428" s="3">
        <v>222</v>
      </c>
    </row>
    <row r="429" spans="1:12" x14ac:dyDescent="0.3">
      <c r="A429">
        <v>428</v>
      </c>
      <c r="B429" t="s">
        <v>473</v>
      </c>
      <c r="C429">
        <v>2013</v>
      </c>
      <c r="D429" t="s">
        <v>21</v>
      </c>
      <c r="E429" t="s">
        <v>22</v>
      </c>
      <c r="F429">
        <v>133</v>
      </c>
      <c r="G429" s="2">
        <v>84.7</v>
      </c>
      <c r="H429" s="2">
        <v>429.8</v>
      </c>
      <c r="I429" s="2">
        <v>6.9</v>
      </c>
      <c r="J429" t="s">
        <v>37</v>
      </c>
      <c r="K429" s="2">
        <v>345.1</v>
      </c>
      <c r="L429" s="3">
        <v>407.4</v>
      </c>
    </row>
    <row r="430" spans="1:12" x14ac:dyDescent="0.3">
      <c r="A430">
        <v>429</v>
      </c>
      <c r="B430" t="s">
        <v>474</v>
      </c>
      <c r="C430">
        <v>2005</v>
      </c>
      <c r="D430" t="s">
        <v>65</v>
      </c>
      <c r="E430" t="s">
        <v>18</v>
      </c>
      <c r="F430">
        <v>112</v>
      </c>
      <c r="G430" s="2">
        <v>33</v>
      </c>
      <c r="H430" s="2">
        <v>45.7</v>
      </c>
      <c r="I430" s="2">
        <v>7.4</v>
      </c>
      <c r="J430" t="s">
        <v>48</v>
      </c>
      <c r="K430" s="2">
        <v>12.7</v>
      </c>
      <c r="L430" s="3">
        <v>38.5</v>
      </c>
    </row>
    <row r="431" spans="1:12" x14ac:dyDescent="0.3">
      <c r="A431">
        <v>430</v>
      </c>
      <c r="B431" t="s">
        <v>475</v>
      </c>
      <c r="C431">
        <v>2019</v>
      </c>
      <c r="D431" t="s">
        <v>17</v>
      </c>
      <c r="E431" t="s">
        <v>18</v>
      </c>
      <c r="F431">
        <v>143</v>
      </c>
      <c r="G431" s="2">
        <v>12</v>
      </c>
      <c r="H431" s="2">
        <v>23.4</v>
      </c>
      <c r="I431" s="2">
        <v>8.5</v>
      </c>
      <c r="J431" t="s">
        <v>68</v>
      </c>
      <c r="K431" s="2">
        <v>11.4</v>
      </c>
      <c r="L431" s="3">
        <v>95</v>
      </c>
    </row>
    <row r="432" spans="1:12" x14ac:dyDescent="0.3">
      <c r="A432">
        <v>431</v>
      </c>
      <c r="B432" t="s">
        <v>476</v>
      </c>
      <c r="C432">
        <v>2004</v>
      </c>
      <c r="D432" t="s">
        <v>27</v>
      </c>
      <c r="E432" t="s">
        <v>22</v>
      </c>
      <c r="F432">
        <v>121</v>
      </c>
      <c r="G432" s="2">
        <v>75.7</v>
      </c>
      <c r="H432" s="2">
        <v>389.5</v>
      </c>
      <c r="I432" s="2">
        <v>8.1999999999999993</v>
      </c>
      <c r="J432" t="s">
        <v>40</v>
      </c>
      <c r="K432" s="2">
        <v>313.8</v>
      </c>
      <c r="L432" s="3">
        <v>414.5</v>
      </c>
    </row>
    <row r="433" spans="1:12" x14ac:dyDescent="0.3">
      <c r="A433">
        <v>432</v>
      </c>
      <c r="B433" t="s">
        <v>477</v>
      </c>
      <c r="C433">
        <v>2006</v>
      </c>
      <c r="D433" t="s">
        <v>45</v>
      </c>
      <c r="E433" t="s">
        <v>22</v>
      </c>
      <c r="F433">
        <v>130</v>
      </c>
      <c r="G433" s="2">
        <v>34</v>
      </c>
      <c r="H433" s="2">
        <v>107.7</v>
      </c>
      <c r="I433" s="2">
        <v>8.3000000000000007</v>
      </c>
      <c r="J433" t="s">
        <v>57</v>
      </c>
      <c r="K433" s="2">
        <v>73.7</v>
      </c>
      <c r="L433" s="3">
        <v>216.8</v>
      </c>
    </row>
    <row r="434" spans="1:12" x14ac:dyDescent="0.3">
      <c r="A434">
        <v>433</v>
      </c>
      <c r="B434" t="s">
        <v>478</v>
      </c>
      <c r="C434">
        <v>1995</v>
      </c>
      <c r="D434" t="s">
        <v>27</v>
      </c>
      <c r="E434" t="s">
        <v>22</v>
      </c>
      <c r="F434">
        <v>107</v>
      </c>
      <c r="G434" s="2">
        <v>123.5</v>
      </c>
      <c r="H434" s="2">
        <v>705</v>
      </c>
      <c r="I434" s="2">
        <v>7.2</v>
      </c>
      <c r="J434" t="s">
        <v>51</v>
      </c>
      <c r="K434" s="2">
        <v>581.5</v>
      </c>
      <c r="L434" s="3">
        <v>470.9</v>
      </c>
    </row>
    <row r="435" spans="1:12" x14ac:dyDescent="0.3">
      <c r="A435">
        <v>434</v>
      </c>
      <c r="B435" t="s">
        <v>479</v>
      </c>
      <c r="C435">
        <v>2012</v>
      </c>
      <c r="D435" t="s">
        <v>27</v>
      </c>
      <c r="E435" t="s">
        <v>22</v>
      </c>
      <c r="F435">
        <v>116</v>
      </c>
      <c r="G435" s="2">
        <v>56.1</v>
      </c>
      <c r="H435" s="2">
        <v>173.3</v>
      </c>
      <c r="I435" s="2">
        <v>8</v>
      </c>
      <c r="J435" t="s">
        <v>91</v>
      </c>
      <c r="K435" s="2">
        <v>117.2</v>
      </c>
      <c r="L435" s="3">
        <v>208.9</v>
      </c>
    </row>
    <row r="436" spans="1:12" x14ac:dyDescent="0.3">
      <c r="A436">
        <v>435</v>
      </c>
      <c r="B436" t="s">
        <v>480</v>
      </c>
      <c r="C436">
        <v>2012</v>
      </c>
      <c r="D436" t="s">
        <v>65</v>
      </c>
      <c r="E436" t="s">
        <v>22</v>
      </c>
      <c r="F436">
        <v>162</v>
      </c>
      <c r="G436" s="2">
        <v>45.5</v>
      </c>
      <c r="H436" s="2">
        <v>149.19999999999999</v>
      </c>
      <c r="I436" s="2">
        <v>6.9</v>
      </c>
      <c r="J436" t="s">
        <v>28</v>
      </c>
      <c r="K436" s="2">
        <v>103.7</v>
      </c>
      <c r="L436" s="3">
        <v>227.9</v>
      </c>
    </row>
    <row r="437" spans="1:12" x14ac:dyDescent="0.3">
      <c r="A437">
        <v>436</v>
      </c>
      <c r="B437" t="s">
        <v>481</v>
      </c>
      <c r="C437">
        <v>2014</v>
      </c>
      <c r="D437" t="s">
        <v>45</v>
      </c>
      <c r="E437" t="s">
        <v>18</v>
      </c>
      <c r="F437">
        <v>106</v>
      </c>
      <c r="G437" s="2">
        <v>19.3</v>
      </c>
      <c r="H437" s="2">
        <v>62.1</v>
      </c>
      <c r="I437" s="2">
        <v>6.6</v>
      </c>
      <c r="J437" t="s">
        <v>59</v>
      </c>
      <c r="K437" s="2">
        <v>42.8</v>
      </c>
      <c r="L437" s="3">
        <v>221.8</v>
      </c>
    </row>
    <row r="438" spans="1:12" x14ac:dyDescent="0.3">
      <c r="A438">
        <v>437</v>
      </c>
      <c r="B438" t="s">
        <v>482</v>
      </c>
      <c r="C438">
        <v>1996</v>
      </c>
      <c r="D438" t="s">
        <v>25</v>
      </c>
      <c r="E438" t="s">
        <v>22</v>
      </c>
      <c r="F438">
        <v>121</v>
      </c>
      <c r="G438" s="2">
        <v>113.2</v>
      </c>
      <c r="H438" s="2">
        <v>77.2</v>
      </c>
      <c r="I438" s="2">
        <v>7.2</v>
      </c>
      <c r="J438" t="s">
        <v>34</v>
      </c>
      <c r="K438" s="2">
        <v>-36</v>
      </c>
      <c r="L438" s="3">
        <v>-31.8</v>
      </c>
    </row>
    <row r="439" spans="1:12" x14ac:dyDescent="0.3">
      <c r="A439">
        <v>438</v>
      </c>
      <c r="B439" t="s">
        <v>483</v>
      </c>
      <c r="C439">
        <v>2007</v>
      </c>
      <c r="D439" t="s">
        <v>47</v>
      </c>
      <c r="E439" t="s">
        <v>66</v>
      </c>
      <c r="F439">
        <v>112</v>
      </c>
      <c r="G439" s="2">
        <v>28.5</v>
      </c>
      <c r="H439" s="2">
        <v>129.19999999999999</v>
      </c>
      <c r="I439" s="2">
        <v>6.4</v>
      </c>
      <c r="J439" t="s">
        <v>51</v>
      </c>
      <c r="K439" s="2">
        <v>100.7</v>
      </c>
      <c r="L439" s="3">
        <v>353.3</v>
      </c>
    </row>
    <row r="440" spans="1:12" x14ac:dyDescent="0.3">
      <c r="A440">
        <v>439</v>
      </c>
      <c r="B440" t="s">
        <v>484</v>
      </c>
      <c r="C440">
        <v>2002</v>
      </c>
      <c r="D440" t="s">
        <v>17</v>
      </c>
      <c r="E440" t="s">
        <v>22</v>
      </c>
      <c r="F440">
        <v>148</v>
      </c>
      <c r="G440" s="2">
        <v>30.2</v>
      </c>
      <c r="H440" s="2">
        <v>54.2</v>
      </c>
      <c r="I440" s="2">
        <v>6.9</v>
      </c>
      <c r="J440" t="s">
        <v>79</v>
      </c>
      <c r="K440" s="2">
        <v>24</v>
      </c>
      <c r="L440" s="3">
        <v>79.5</v>
      </c>
    </row>
    <row r="441" spans="1:12" x14ac:dyDescent="0.3">
      <c r="A441">
        <v>440</v>
      </c>
      <c r="B441" t="s">
        <v>485</v>
      </c>
      <c r="C441">
        <v>2001</v>
      </c>
      <c r="D441" t="s">
        <v>65</v>
      </c>
      <c r="E441" t="s">
        <v>22</v>
      </c>
      <c r="F441">
        <v>144</v>
      </c>
      <c r="G441" s="2">
        <v>104.7</v>
      </c>
      <c r="H441" s="2">
        <v>354</v>
      </c>
      <c r="I441" s="2">
        <v>6.6</v>
      </c>
      <c r="J441" t="s">
        <v>57</v>
      </c>
      <c r="K441" s="2">
        <v>249.3</v>
      </c>
      <c r="L441" s="3">
        <v>238.1</v>
      </c>
    </row>
    <row r="442" spans="1:12" x14ac:dyDescent="0.3">
      <c r="A442">
        <v>441</v>
      </c>
      <c r="B442" t="s">
        <v>486</v>
      </c>
      <c r="C442">
        <v>2005</v>
      </c>
      <c r="D442" t="s">
        <v>13</v>
      </c>
      <c r="E442" t="s">
        <v>22</v>
      </c>
      <c r="F442">
        <v>75</v>
      </c>
      <c r="G442" s="2">
        <v>49.1</v>
      </c>
      <c r="H442" s="2">
        <v>85.6</v>
      </c>
      <c r="I442" s="2">
        <v>7.7</v>
      </c>
      <c r="J442" t="s">
        <v>40</v>
      </c>
      <c r="K442" s="2">
        <v>36.5</v>
      </c>
      <c r="L442" s="3">
        <v>74.3</v>
      </c>
    </row>
    <row r="443" spans="1:12" x14ac:dyDescent="0.3">
      <c r="A443">
        <v>442</v>
      </c>
      <c r="B443" t="s">
        <v>487</v>
      </c>
      <c r="C443">
        <v>2008</v>
      </c>
      <c r="D443" t="s">
        <v>13</v>
      </c>
      <c r="E443" t="s">
        <v>22</v>
      </c>
      <c r="F443">
        <v>75</v>
      </c>
      <c r="G443" s="2">
        <v>41.2</v>
      </c>
      <c r="H443" s="2">
        <v>42.3</v>
      </c>
      <c r="I443" s="2">
        <v>7.5</v>
      </c>
      <c r="J443" t="s">
        <v>40</v>
      </c>
      <c r="K443" s="2">
        <v>1.1000000000000001</v>
      </c>
      <c r="L443" s="3">
        <v>2.7</v>
      </c>
    </row>
    <row r="444" spans="1:12" x14ac:dyDescent="0.3">
      <c r="A444">
        <v>443</v>
      </c>
      <c r="B444" t="s">
        <v>488</v>
      </c>
      <c r="C444">
        <v>1995</v>
      </c>
      <c r="D444" t="s">
        <v>65</v>
      </c>
      <c r="E444" t="s">
        <v>22</v>
      </c>
      <c r="F444">
        <v>164</v>
      </c>
      <c r="G444" s="2">
        <v>34.1</v>
      </c>
      <c r="H444" s="2">
        <v>36.1</v>
      </c>
      <c r="I444" s="2">
        <v>5.9</v>
      </c>
      <c r="J444" t="s">
        <v>34</v>
      </c>
      <c r="K444" s="2">
        <v>2</v>
      </c>
      <c r="L444" s="3">
        <v>5.9</v>
      </c>
    </row>
    <row r="445" spans="1:12" x14ac:dyDescent="0.3">
      <c r="A445">
        <v>444</v>
      </c>
      <c r="B445" t="s">
        <v>489</v>
      </c>
      <c r="C445">
        <v>2011</v>
      </c>
      <c r="D445" t="s">
        <v>65</v>
      </c>
      <c r="E445" t="s">
        <v>22</v>
      </c>
      <c r="F445">
        <v>144</v>
      </c>
      <c r="G445" s="2">
        <v>45.7</v>
      </c>
      <c r="H445" s="2">
        <v>55.2</v>
      </c>
      <c r="I445" s="2">
        <v>5.8</v>
      </c>
      <c r="J445" t="s">
        <v>91</v>
      </c>
      <c r="K445" s="2">
        <v>9.5</v>
      </c>
      <c r="L445" s="3">
        <v>20.8</v>
      </c>
    </row>
    <row r="446" spans="1:12" x14ac:dyDescent="0.3">
      <c r="A446">
        <v>445</v>
      </c>
      <c r="B446" t="s">
        <v>490</v>
      </c>
      <c r="C446">
        <v>2004</v>
      </c>
      <c r="D446" t="s">
        <v>47</v>
      </c>
      <c r="E446" t="s">
        <v>14</v>
      </c>
      <c r="F446">
        <v>128</v>
      </c>
      <c r="G446" s="2">
        <v>49.1</v>
      </c>
      <c r="H446" s="2">
        <v>175.8</v>
      </c>
      <c r="I446" s="2">
        <v>7.3</v>
      </c>
      <c r="J446" t="s">
        <v>15</v>
      </c>
      <c r="K446" s="2">
        <v>126.7</v>
      </c>
      <c r="L446" s="3">
        <v>258</v>
      </c>
    </row>
    <row r="447" spans="1:12" x14ac:dyDescent="0.3">
      <c r="A447">
        <v>446</v>
      </c>
      <c r="B447" t="s">
        <v>491</v>
      </c>
      <c r="C447">
        <v>1993</v>
      </c>
      <c r="D447" t="s">
        <v>21</v>
      </c>
      <c r="E447" t="s">
        <v>66</v>
      </c>
      <c r="F447">
        <v>75</v>
      </c>
      <c r="G447" s="2">
        <v>47.8</v>
      </c>
      <c r="H447" s="2">
        <v>132.19999999999999</v>
      </c>
      <c r="I447" s="2">
        <v>7.7</v>
      </c>
      <c r="J447" t="s">
        <v>40</v>
      </c>
      <c r="K447" s="2">
        <v>84.4</v>
      </c>
      <c r="L447" s="3">
        <v>176.6</v>
      </c>
    </row>
    <row r="448" spans="1:12" x14ac:dyDescent="0.3">
      <c r="A448">
        <v>447</v>
      </c>
      <c r="B448" t="s">
        <v>492</v>
      </c>
      <c r="C448">
        <v>1991</v>
      </c>
      <c r="D448" t="s">
        <v>27</v>
      </c>
      <c r="E448" t="s">
        <v>22</v>
      </c>
      <c r="F448">
        <v>142</v>
      </c>
      <c r="G448" s="2">
        <v>15.8</v>
      </c>
      <c r="H448" s="2">
        <v>78.5</v>
      </c>
      <c r="I448" s="2">
        <v>7.9</v>
      </c>
      <c r="J448" t="s">
        <v>34</v>
      </c>
      <c r="K448" s="2">
        <v>62.7</v>
      </c>
      <c r="L448" s="3">
        <v>396.8</v>
      </c>
    </row>
    <row r="449" spans="1:12" x14ac:dyDescent="0.3">
      <c r="A449">
        <v>448</v>
      </c>
      <c r="B449" t="s">
        <v>493</v>
      </c>
      <c r="C449">
        <v>2010</v>
      </c>
      <c r="D449" t="s">
        <v>36</v>
      </c>
      <c r="E449" t="s">
        <v>22</v>
      </c>
      <c r="F449">
        <v>138</v>
      </c>
      <c r="G449" s="2">
        <v>56.1</v>
      </c>
      <c r="H449" s="2">
        <v>127.1</v>
      </c>
      <c r="I449" s="2">
        <v>5.6</v>
      </c>
      <c r="J449" t="s">
        <v>34</v>
      </c>
      <c r="K449" s="2">
        <v>71</v>
      </c>
      <c r="L449" s="3">
        <v>126.6</v>
      </c>
    </row>
    <row r="450" spans="1:12" x14ac:dyDescent="0.3">
      <c r="A450">
        <v>449</v>
      </c>
      <c r="B450" t="s">
        <v>494</v>
      </c>
      <c r="C450">
        <v>2021</v>
      </c>
      <c r="D450" t="s">
        <v>65</v>
      </c>
      <c r="E450" t="s">
        <v>22</v>
      </c>
      <c r="F450">
        <v>136</v>
      </c>
      <c r="G450" s="2">
        <v>173.5</v>
      </c>
      <c r="H450" s="2">
        <v>357.7</v>
      </c>
      <c r="I450" s="2">
        <v>7</v>
      </c>
      <c r="J450" t="s">
        <v>79</v>
      </c>
      <c r="K450" s="2">
        <v>184.2</v>
      </c>
      <c r="L450" s="3">
        <v>106.2</v>
      </c>
    </row>
    <row r="451" spans="1:12" x14ac:dyDescent="0.3">
      <c r="A451">
        <v>450</v>
      </c>
      <c r="B451" t="s">
        <v>495</v>
      </c>
      <c r="C451">
        <v>2000</v>
      </c>
      <c r="D451" t="s">
        <v>47</v>
      </c>
      <c r="E451" t="s">
        <v>22</v>
      </c>
      <c r="F451">
        <v>117</v>
      </c>
      <c r="G451" s="2">
        <v>108.5</v>
      </c>
      <c r="H451" s="2">
        <v>254.4</v>
      </c>
      <c r="I451" s="2">
        <v>7.1</v>
      </c>
      <c r="J451" t="s">
        <v>23</v>
      </c>
      <c r="K451" s="2">
        <v>145.9</v>
      </c>
      <c r="L451" s="3">
        <v>134.5</v>
      </c>
    </row>
    <row r="452" spans="1:12" x14ac:dyDescent="0.3">
      <c r="A452">
        <v>451</v>
      </c>
      <c r="B452" t="s">
        <v>496</v>
      </c>
      <c r="C452">
        <v>2005</v>
      </c>
      <c r="D452" t="s">
        <v>13</v>
      </c>
      <c r="E452" t="s">
        <v>22</v>
      </c>
      <c r="F452">
        <v>117</v>
      </c>
      <c r="G452" s="2">
        <v>13.3</v>
      </c>
      <c r="H452" s="2">
        <v>53.8</v>
      </c>
      <c r="I452" s="2">
        <v>6.7</v>
      </c>
      <c r="J452" t="s">
        <v>34</v>
      </c>
      <c r="K452" s="2">
        <v>40.5</v>
      </c>
      <c r="L452" s="3">
        <v>304.5</v>
      </c>
    </row>
    <row r="453" spans="1:12" x14ac:dyDescent="0.3">
      <c r="A453">
        <v>452</v>
      </c>
      <c r="B453" t="s">
        <v>497</v>
      </c>
      <c r="C453">
        <v>1998</v>
      </c>
      <c r="D453" t="s">
        <v>17</v>
      </c>
      <c r="E453" t="s">
        <v>127</v>
      </c>
      <c r="F453">
        <v>75</v>
      </c>
      <c r="G453" s="2">
        <v>191.9</v>
      </c>
      <c r="H453" s="2">
        <v>252.3</v>
      </c>
      <c r="I453" s="2">
        <v>5.0999999999999996</v>
      </c>
      <c r="J453" t="s">
        <v>34</v>
      </c>
      <c r="K453" s="2">
        <v>60.4</v>
      </c>
      <c r="L453" s="3">
        <v>31.5</v>
      </c>
    </row>
    <row r="454" spans="1:12" x14ac:dyDescent="0.3">
      <c r="A454">
        <v>453</v>
      </c>
      <c r="B454" t="s">
        <v>498</v>
      </c>
      <c r="C454">
        <v>2016</v>
      </c>
      <c r="D454" t="s">
        <v>45</v>
      </c>
      <c r="E454" t="s">
        <v>18</v>
      </c>
      <c r="F454">
        <v>95</v>
      </c>
      <c r="G454" s="2">
        <v>15.3</v>
      </c>
      <c r="H454" s="2">
        <v>6.3</v>
      </c>
      <c r="I454" s="2">
        <v>7.7</v>
      </c>
      <c r="J454" t="s">
        <v>68</v>
      </c>
      <c r="K454" s="2">
        <v>-9</v>
      </c>
      <c r="L454" s="3">
        <v>-58.8</v>
      </c>
    </row>
    <row r="455" spans="1:12" x14ac:dyDescent="0.3">
      <c r="A455">
        <v>454</v>
      </c>
      <c r="B455" t="s">
        <v>499</v>
      </c>
      <c r="C455">
        <v>2007</v>
      </c>
      <c r="D455" t="s">
        <v>25</v>
      </c>
      <c r="E455" t="s">
        <v>30</v>
      </c>
      <c r="F455">
        <v>75</v>
      </c>
      <c r="G455" s="2">
        <v>125.9</v>
      </c>
      <c r="H455" s="2">
        <v>631.29999999999995</v>
      </c>
      <c r="I455" s="2">
        <v>7.7</v>
      </c>
      <c r="J455" t="s">
        <v>28</v>
      </c>
      <c r="K455" s="2">
        <v>505.4</v>
      </c>
      <c r="L455" s="3">
        <v>401.4</v>
      </c>
    </row>
    <row r="456" spans="1:12" x14ac:dyDescent="0.3">
      <c r="A456">
        <v>455</v>
      </c>
      <c r="B456" t="s">
        <v>500</v>
      </c>
      <c r="C456">
        <v>2014</v>
      </c>
      <c r="D456" t="s">
        <v>65</v>
      </c>
      <c r="E456" t="s">
        <v>30</v>
      </c>
      <c r="F456">
        <v>146</v>
      </c>
      <c r="G456" s="2">
        <v>35.4</v>
      </c>
      <c r="H456" s="2">
        <v>25</v>
      </c>
      <c r="I456" s="2">
        <v>6.9</v>
      </c>
      <c r="J456" t="s">
        <v>23</v>
      </c>
      <c r="K456" s="2">
        <v>-10.4</v>
      </c>
      <c r="L456" s="3">
        <v>-29.4</v>
      </c>
    </row>
    <row r="457" spans="1:12" x14ac:dyDescent="0.3">
      <c r="A457">
        <v>456</v>
      </c>
      <c r="B457" t="s">
        <v>501</v>
      </c>
      <c r="C457">
        <v>2003</v>
      </c>
      <c r="D457" t="s">
        <v>27</v>
      </c>
      <c r="E457" t="s">
        <v>22</v>
      </c>
      <c r="F457">
        <v>138</v>
      </c>
      <c r="G457" s="2">
        <v>107.1</v>
      </c>
      <c r="H457" s="2">
        <v>243.1</v>
      </c>
      <c r="I457" s="2">
        <v>8.8000000000000007</v>
      </c>
      <c r="J457" t="s">
        <v>57</v>
      </c>
      <c r="K457" s="2">
        <v>136</v>
      </c>
      <c r="L457" s="3">
        <v>127</v>
      </c>
    </row>
    <row r="458" spans="1:12" x14ac:dyDescent="0.3">
      <c r="A458">
        <v>457</v>
      </c>
      <c r="B458" t="s">
        <v>502</v>
      </c>
      <c r="C458">
        <v>2021</v>
      </c>
      <c r="D458" t="s">
        <v>47</v>
      </c>
      <c r="E458" t="s">
        <v>18</v>
      </c>
      <c r="F458">
        <v>105</v>
      </c>
      <c r="G458" s="2">
        <v>14.9</v>
      </c>
      <c r="H458" s="2">
        <v>31.3</v>
      </c>
      <c r="I458" s="2">
        <v>7.9</v>
      </c>
      <c r="J458" t="s">
        <v>68</v>
      </c>
      <c r="K458" s="2">
        <v>16.399999999999999</v>
      </c>
      <c r="L458" s="3">
        <v>110.1</v>
      </c>
    </row>
    <row r="459" spans="1:12" x14ac:dyDescent="0.3">
      <c r="A459">
        <v>458</v>
      </c>
      <c r="B459" t="s">
        <v>503</v>
      </c>
      <c r="C459">
        <v>2004</v>
      </c>
      <c r="D459" t="s">
        <v>53</v>
      </c>
      <c r="E459" t="s">
        <v>22</v>
      </c>
      <c r="F459">
        <v>143</v>
      </c>
      <c r="G459" s="2">
        <v>24.6</v>
      </c>
      <c r="H459" s="2">
        <v>12.1</v>
      </c>
      <c r="I459" s="2">
        <v>6.4</v>
      </c>
      <c r="J459" t="s">
        <v>23</v>
      </c>
      <c r="K459" s="2">
        <v>-12.5</v>
      </c>
      <c r="L459" s="3">
        <v>-50.8</v>
      </c>
    </row>
    <row r="460" spans="1:12" x14ac:dyDescent="0.3">
      <c r="A460">
        <v>459</v>
      </c>
      <c r="B460" t="s">
        <v>504</v>
      </c>
      <c r="C460">
        <v>2012</v>
      </c>
      <c r="D460" t="s">
        <v>47</v>
      </c>
      <c r="E460" t="s">
        <v>33</v>
      </c>
      <c r="F460">
        <v>158</v>
      </c>
      <c r="G460" s="2">
        <v>77</v>
      </c>
      <c r="H460" s="2">
        <v>207.6</v>
      </c>
      <c r="I460" s="2">
        <v>6.6</v>
      </c>
      <c r="J460" t="s">
        <v>91</v>
      </c>
      <c r="K460" s="2">
        <v>130.6</v>
      </c>
      <c r="L460" s="3">
        <v>169.6</v>
      </c>
    </row>
    <row r="461" spans="1:12" x14ac:dyDescent="0.3">
      <c r="A461">
        <v>460</v>
      </c>
      <c r="B461" t="s">
        <v>505</v>
      </c>
      <c r="C461">
        <v>1990</v>
      </c>
      <c r="D461" t="s">
        <v>65</v>
      </c>
      <c r="E461" t="s">
        <v>22</v>
      </c>
      <c r="F461">
        <v>91</v>
      </c>
      <c r="G461" s="2">
        <v>63.5</v>
      </c>
      <c r="H461" s="2">
        <v>135</v>
      </c>
      <c r="I461" s="2">
        <v>7.3</v>
      </c>
      <c r="J461" t="s">
        <v>37</v>
      </c>
      <c r="K461" s="2">
        <v>71.5</v>
      </c>
      <c r="L461" s="3">
        <v>112.6</v>
      </c>
    </row>
    <row r="462" spans="1:12" x14ac:dyDescent="0.3">
      <c r="A462">
        <v>461</v>
      </c>
      <c r="B462" t="s">
        <v>506</v>
      </c>
      <c r="C462">
        <v>2015</v>
      </c>
      <c r="D462" t="s">
        <v>25</v>
      </c>
      <c r="E462" t="s">
        <v>18</v>
      </c>
      <c r="F462">
        <v>75</v>
      </c>
      <c r="G462" s="2">
        <v>9.9</v>
      </c>
      <c r="H462" s="2">
        <v>20</v>
      </c>
      <c r="I462" s="2">
        <v>7.3</v>
      </c>
      <c r="J462" t="s">
        <v>75</v>
      </c>
      <c r="K462" s="2">
        <v>10.1</v>
      </c>
      <c r="L462" s="3">
        <v>102</v>
      </c>
    </row>
    <row r="463" spans="1:12" x14ac:dyDescent="0.3">
      <c r="A463">
        <v>462</v>
      </c>
      <c r="B463" t="s">
        <v>507</v>
      </c>
      <c r="C463">
        <v>2022</v>
      </c>
      <c r="D463" t="s">
        <v>45</v>
      </c>
      <c r="E463" t="s">
        <v>22</v>
      </c>
      <c r="F463">
        <v>151</v>
      </c>
      <c r="G463" s="2">
        <v>141.30000000000001</v>
      </c>
      <c r="H463" s="2">
        <v>563.1</v>
      </c>
      <c r="I463" s="2">
        <v>7.8</v>
      </c>
      <c r="J463" t="s">
        <v>31</v>
      </c>
      <c r="K463" s="2">
        <v>421.8</v>
      </c>
      <c r="L463" s="3">
        <v>298.5</v>
      </c>
    </row>
    <row r="464" spans="1:12" x14ac:dyDescent="0.3">
      <c r="A464">
        <v>463</v>
      </c>
      <c r="B464" t="s">
        <v>508</v>
      </c>
      <c r="C464">
        <v>2008</v>
      </c>
      <c r="D464" t="s">
        <v>36</v>
      </c>
      <c r="E464" t="s">
        <v>18</v>
      </c>
      <c r="F464">
        <v>106</v>
      </c>
      <c r="G464" s="2">
        <v>26.3</v>
      </c>
      <c r="H464" s="2">
        <v>44.7</v>
      </c>
      <c r="I464" s="2">
        <v>6.5</v>
      </c>
      <c r="J464" t="s">
        <v>68</v>
      </c>
      <c r="K464" s="2">
        <v>18.399999999999999</v>
      </c>
      <c r="L464" s="3">
        <v>70</v>
      </c>
    </row>
    <row r="465" spans="1:12" x14ac:dyDescent="0.3">
      <c r="A465">
        <v>464</v>
      </c>
      <c r="B465" t="s">
        <v>509</v>
      </c>
      <c r="C465">
        <v>1997</v>
      </c>
      <c r="D465" t="s">
        <v>25</v>
      </c>
      <c r="E465" t="s">
        <v>18</v>
      </c>
      <c r="F465">
        <v>142</v>
      </c>
      <c r="G465" s="2">
        <v>5.4</v>
      </c>
      <c r="H465" s="2">
        <v>16.2</v>
      </c>
      <c r="I465" s="2">
        <v>6.2</v>
      </c>
      <c r="J465" t="s">
        <v>75</v>
      </c>
      <c r="K465" s="2">
        <v>10.8</v>
      </c>
      <c r="L465" s="3">
        <v>200</v>
      </c>
    </row>
    <row r="466" spans="1:12" x14ac:dyDescent="0.3">
      <c r="A466">
        <v>465</v>
      </c>
      <c r="B466" t="s">
        <v>510</v>
      </c>
      <c r="C466">
        <v>2008</v>
      </c>
      <c r="D466" t="s">
        <v>47</v>
      </c>
      <c r="E466" t="s">
        <v>18</v>
      </c>
      <c r="F466">
        <v>152</v>
      </c>
      <c r="G466" s="2">
        <v>17.100000000000001</v>
      </c>
      <c r="H466" s="2">
        <v>8.9</v>
      </c>
      <c r="I466" s="2">
        <v>8.9</v>
      </c>
      <c r="J466" t="s">
        <v>59</v>
      </c>
      <c r="K466" s="2">
        <v>-8.1999999999999993</v>
      </c>
      <c r="L466" s="3">
        <v>-48</v>
      </c>
    </row>
    <row r="467" spans="1:12" x14ac:dyDescent="0.3">
      <c r="A467">
        <v>466</v>
      </c>
      <c r="B467" t="s">
        <v>511</v>
      </c>
      <c r="C467">
        <v>2017</v>
      </c>
      <c r="D467" t="s">
        <v>53</v>
      </c>
      <c r="E467" t="s">
        <v>30</v>
      </c>
      <c r="F467">
        <v>124</v>
      </c>
      <c r="G467" s="2">
        <v>38.5</v>
      </c>
      <c r="H467" s="2">
        <v>138</v>
      </c>
      <c r="I467" s="2">
        <v>8.1</v>
      </c>
      <c r="J467" t="s">
        <v>28</v>
      </c>
      <c r="K467" s="2">
        <v>99.5</v>
      </c>
      <c r="L467" s="3">
        <v>258.39999999999998</v>
      </c>
    </row>
    <row r="468" spans="1:12" x14ac:dyDescent="0.3">
      <c r="A468">
        <v>467</v>
      </c>
      <c r="B468" t="s">
        <v>512</v>
      </c>
      <c r="C468">
        <v>2013</v>
      </c>
      <c r="D468" t="s">
        <v>53</v>
      </c>
      <c r="E468" t="s">
        <v>30</v>
      </c>
      <c r="F468">
        <v>127</v>
      </c>
      <c r="G468" s="2">
        <v>84.5</v>
      </c>
      <c r="H468" s="2">
        <v>299.89999999999998</v>
      </c>
      <c r="I468" s="2">
        <v>6</v>
      </c>
      <c r="J468" t="s">
        <v>91</v>
      </c>
      <c r="K468" s="2">
        <v>215.4</v>
      </c>
      <c r="L468" s="3">
        <v>254.9</v>
      </c>
    </row>
    <row r="469" spans="1:12" x14ac:dyDescent="0.3">
      <c r="A469">
        <v>468</v>
      </c>
      <c r="B469" t="s">
        <v>513</v>
      </c>
      <c r="C469">
        <v>2017</v>
      </c>
      <c r="D469" t="s">
        <v>53</v>
      </c>
      <c r="E469" t="s">
        <v>22</v>
      </c>
      <c r="F469">
        <v>152</v>
      </c>
      <c r="G469" s="2">
        <v>115.9</v>
      </c>
      <c r="H469" s="2">
        <v>185.5</v>
      </c>
      <c r="I469" s="2">
        <v>5.5</v>
      </c>
      <c r="J469" t="s">
        <v>37</v>
      </c>
      <c r="K469" s="2">
        <v>69.599999999999994</v>
      </c>
      <c r="L469" s="3">
        <v>60.1</v>
      </c>
    </row>
    <row r="470" spans="1:12" x14ac:dyDescent="0.3">
      <c r="A470">
        <v>469</v>
      </c>
      <c r="B470" t="s">
        <v>514</v>
      </c>
      <c r="C470">
        <v>2014</v>
      </c>
      <c r="D470" t="s">
        <v>25</v>
      </c>
      <c r="E470" t="s">
        <v>22</v>
      </c>
      <c r="F470">
        <v>100</v>
      </c>
      <c r="G470" s="2">
        <v>64.900000000000006</v>
      </c>
      <c r="H470" s="2">
        <v>63.2</v>
      </c>
      <c r="I470" s="2">
        <v>7.4</v>
      </c>
      <c r="J470" t="s">
        <v>31</v>
      </c>
      <c r="K470" s="2">
        <v>-1.7</v>
      </c>
      <c r="L470" s="3">
        <v>-2.6</v>
      </c>
    </row>
    <row r="471" spans="1:12" x14ac:dyDescent="0.3">
      <c r="A471">
        <v>470</v>
      </c>
      <c r="B471" t="s">
        <v>515</v>
      </c>
      <c r="C471">
        <v>2012</v>
      </c>
      <c r="D471" t="s">
        <v>65</v>
      </c>
      <c r="E471" t="s">
        <v>18</v>
      </c>
      <c r="F471">
        <v>124</v>
      </c>
      <c r="G471" s="2">
        <v>11.3</v>
      </c>
      <c r="H471" s="2">
        <v>19.899999999999999</v>
      </c>
      <c r="I471" s="2">
        <v>6</v>
      </c>
      <c r="J471" t="s">
        <v>19</v>
      </c>
      <c r="K471" s="2">
        <v>8.6</v>
      </c>
      <c r="L471" s="3">
        <v>76.099999999999994</v>
      </c>
    </row>
    <row r="472" spans="1:12" x14ac:dyDescent="0.3">
      <c r="A472">
        <v>471</v>
      </c>
      <c r="B472" t="s">
        <v>516</v>
      </c>
      <c r="C472">
        <v>2016</v>
      </c>
      <c r="D472" t="s">
        <v>65</v>
      </c>
      <c r="E472" t="s">
        <v>22</v>
      </c>
      <c r="F472">
        <v>119</v>
      </c>
      <c r="G472" s="2">
        <v>68.900000000000006</v>
      </c>
      <c r="H472" s="2">
        <v>165.6</v>
      </c>
      <c r="I472" s="2">
        <v>6.2</v>
      </c>
      <c r="J472" t="s">
        <v>40</v>
      </c>
      <c r="K472" s="2">
        <v>96.7</v>
      </c>
      <c r="L472" s="3">
        <v>140.30000000000001</v>
      </c>
    </row>
    <row r="473" spans="1:12" x14ac:dyDescent="0.3">
      <c r="A473">
        <v>472</v>
      </c>
      <c r="B473" t="s">
        <v>517</v>
      </c>
      <c r="C473">
        <v>1996</v>
      </c>
      <c r="D473" t="s">
        <v>17</v>
      </c>
      <c r="E473" t="s">
        <v>33</v>
      </c>
      <c r="F473">
        <v>142</v>
      </c>
      <c r="G473" s="2">
        <v>74.7</v>
      </c>
      <c r="H473" s="2">
        <v>62.9</v>
      </c>
      <c r="I473" s="2">
        <v>8.4</v>
      </c>
      <c r="J473" t="s">
        <v>28</v>
      </c>
      <c r="K473" s="2">
        <v>-11.8</v>
      </c>
      <c r="L473" s="3">
        <v>-15.8</v>
      </c>
    </row>
    <row r="474" spans="1:12" x14ac:dyDescent="0.3">
      <c r="A474">
        <v>473</v>
      </c>
      <c r="B474" t="s">
        <v>518</v>
      </c>
      <c r="C474">
        <v>2016</v>
      </c>
      <c r="D474" t="s">
        <v>17</v>
      </c>
      <c r="E474" t="s">
        <v>22</v>
      </c>
      <c r="F474">
        <v>119</v>
      </c>
      <c r="G474" s="2">
        <v>27.4</v>
      </c>
      <c r="H474" s="2">
        <v>93.1</v>
      </c>
      <c r="I474" s="2">
        <v>7.6</v>
      </c>
      <c r="J474" t="s">
        <v>23</v>
      </c>
      <c r="K474" s="2">
        <v>65.7</v>
      </c>
      <c r="L474" s="3">
        <v>239.8</v>
      </c>
    </row>
    <row r="475" spans="1:12" x14ac:dyDescent="0.3">
      <c r="A475">
        <v>474</v>
      </c>
      <c r="B475" t="s">
        <v>519</v>
      </c>
      <c r="C475">
        <v>1993</v>
      </c>
      <c r="D475" t="s">
        <v>13</v>
      </c>
      <c r="E475" t="s">
        <v>22</v>
      </c>
      <c r="F475">
        <v>162</v>
      </c>
      <c r="G475" s="2">
        <v>147.80000000000001</v>
      </c>
      <c r="H475" s="2">
        <v>514.6</v>
      </c>
      <c r="I475" s="2">
        <v>7.5</v>
      </c>
      <c r="J475" t="s">
        <v>34</v>
      </c>
      <c r="K475" s="2">
        <v>366.8</v>
      </c>
      <c r="L475" s="3">
        <v>248.2</v>
      </c>
    </row>
    <row r="476" spans="1:12" x14ac:dyDescent="0.3">
      <c r="A476">
        <v>475</v>
      </c>
      <c r="B476" t="s">
        <v>520</v>
      </c>
      <c r="C476">
        <v>1996</v>
      </c>
      <c r="D476" t="s">
        <v>45</v>
      </c>
      <c r="E476" t="s">
        <v>22</v>
      </c>
      <c r="F476">
        <v>135</v>
      </c>
      <c r="G476" s="2">
        <v>9.6999999999999993</v>
      </c>
      <c r="H476" s="2">
        <v>27.2</v>
      </c>
      <c r="I476" s="2">
        <v>7.3</v>
      </c>
      <c r="J476" t="s">
        <v>79</v>
      </c>
      <c r="K476" s="2">
        <v>17.5</v>
      </c>
      <c r="L476" s="3">
        <v>180.4</v>
      </c>
    </row>
    <row r="477" spans="1:12" x14ac:dyDescent="0.3">
      <c r="A477">
        <v>476</v>
      </c>
      <c r="B477" t="s">
        <v>521</v>
      </c>
      <c r="C477">
        <v>2022</v>
      </c>
      <c r="D477" t="s">
        <v>25</v>
      </c>
      <c r="E477" t="s">
        <v>66</v>
      </c>
      <c r="F477">
        <v>136</v>
      </c>
      <c r="G477" s="2">
        <v>39.200000000000003</v>
      </c>
      <c r="H477" s="2">
        <v>96.8</v>
      </c>
      <c r="I477" s="2">
        <v>6.7</v>
      </c>
      <c r="J477" t="s">
        <v>51</v>
      </c>
      <c r="K477" s="2">
        <v>57.6</v>
      </c>
      <c r="L477" s="3">
        <v>146.9</v>
      </c>
    </row>
    <row r="478" spans="1:12" x14ac:dyDescent="0.3">
      <c r="A478">
        <v>477</v>
      </c>
      <c r="B478" t="s">
        <v>522</v>
      </c>
      <c r="C478">
        <v>2007</v>
      </c>
      <c r="D478" t="s">
        <v>17</v>
      </c>
      <c r="E478" t="s">
        <v>18</v>
      </c>
      <c r="F478">
        <v>118</v>
      </c>
      <c r="G478" s="2">
        <v>4.3</v>
      </c>
      <c r="H478" s="2">
        <v>4.5999999999999996</v>
      </c>
      <c r="I478" s="2">
        <v>7.1</v>
      </c>
      <c r="J478" t="s">
        <v>48</v>
      </c>
      <c r="K478" s="2">
        <v>0.3</v>
      </c>
      <c r="L478" s="3">
        <v>7</v>
      </c>
    </row>
    <row r="479" spans="1:12" x14ac:dyDescent="0.3">
      <c r="A479">
        <v>478</v>
      </c>
      <c r="B479" t="s">
        <v>523</v>
      </c>
      <c r="C479">
        <v>2013</v>
      </c>
      <c r="D479" t="s">
        <v>17</v>
      </c>
      <c r="E479" t="s">
        <v>66</v>
      </c>
      <c r="F479">
        <v>81</v>
      </c>
      <c r="G479" s="2">
        <v>20.8</v>
      </c>
      <c r="H479" s="2">
        <v>108</v>
      </c>
      <c r="I479" s="2">
        <v>8.6999999999999993</v>
      </c>
      <c r="J479" t="s">
        <v>37</v>
      </c>
      <c r="K479" s="2">
        <v>87.2</v>
      </c>
      <c r="L479" s="3">
        <v>419.2</v>
      </c>
    </row>
    <row r="480" spans="1:12" x14ac:dyDescent="0.3">
      <c r="A480">
        <v>479</v>
      </c>
      <c r="B480" t="s">
        <v>524</v>
      </c>
      <c r="C480">
        <v>2003</v>
      </c>
      <c r="D480" t="s">
        <v>13</v>
      </c>
      <c r="E480" t="s">
        <v>22</v>
      </c>
      <c r="F480">
        <v>152</v>
      </c>
      <c r="G480" s="2">
        <v>277.5</v>
      </c>
      <c r="H480" s="2">
        <v>323.39999999999998</v>
      </c>
      <c r="I480" s="2">
        <v>7.2</v>
      </c>
      <c r="J480" t="s">
        <v>23</v>
      </c>
      <c r="K480" s="2">
        <v>45.9</v>
      </c>
      <c r="L480" s="3">
        <v>16.5</v>
      </c>
    </row>
    <row r="481" spans="1:12" x14ac:dyDescent="0.3">
      <c r="A481">
        <v>480</v>
      </c>
      <c r="B481" t="s">
        <v>525</v>
      </c>
      <c r="C481">
        <v>2021</v>
      </c>
      <c r="D481" t="s">
        <v>47</v>
      </c>
      <c r="E481" t="s">
        <v>22</v>
      </c>
      <c r="F481">
        <v>109</v>
      </c>
      <c r="G481" s="2">
        <v>59.8</v>
      </c>
      <c r="H481" s="2">
        <v>84.1</v>
      </c>
      <c r="I481" s="2">
        <v>6.4</v>
      </c>
      <c r="J481" t="s">
        <v>23</v>
      </c>
      <c r="K481" s="2">
        <v>24.3</v>
      </c>
      <c r="L481" s="3">
        <v>40.6</v>
      </c>
    </row>
    <row r="482" spans="1:12" x14ac:dyDescent="0.3">
      <c r="A482">
        <v>481</v>
      </c>
      <c r="B482" t="s">
        <v>526</v>
      </c>
      <c r="C482">
        <v>2008</v>
      </c>
      <c r="D482" t="s">
        <v>36</v>
      </c>
      <c r="E482" t="s">
        <v>22</v>
      </c>
      <c r="F482">
        <v>121</v>
      </c>
      <c r="G482" s="2">
        <v>42.7</v>
      </c>
      <c r="H482" s="2">
        <v>99.8</v>
      </c>
      <c r="I482" s="2">
        <v>5</v>
      </c>
      <c r="J482" t="s">
        <v>23</v>
      </c>
      <c r="K482" s="2">
        <v>57.1</v>
      </c>
      <c r="L482" s="3">
        <v>133.69999999999999</v>
      </c>
    </row>
    <row r="483" spans="1:12" x14ac:dyDescent="0.3">
      <c r="A483">
        <v>482</v>
      </c>
      <c r="B483" t="s">
        <v>527</v>
      </c>
      <c r="C483">
        <v>2009</v>
      </c>
      <c r="D483" t="s">
        <v>27</v>
      </c>
      <c r="E483" t="s">
        <v>22</v>
      </c>
      <c r="F483">
        <v>116</v>
      </c>
      <c r="G483" s="2">
        <v>71.5</v>
      </c>
      <c r="H483" s="2">
        <v>247.1</v>
      </c>
      <c r="I483" s="2">
        <v>6.4</v>
      </c>
      <c r="J483" t="s">
        <v>23</v>
      </c>
      <c r="K483" s="2">
        <v>175.6</v>
      </c>
      <c r="L483" s="3">
        <v>245.6</v>
      </c>
    </row>
    <row r="484" spans="1:12" x14ac:dyDescent="0.3">
      <c r="A484">
        <v>483</v>
      </c>
      <c r="B484" t="s">
        <v>528</v>
      </c>
      <c r="C484">
        <v>1998</v>
      </c>
      <c r="D484" t="s">
        <v>17</v>
      </c>
      <c r="E484" t="s">
        <v>18</v>
      </c>
      <c r="F484">
        <v>129</v>
      </c>
      <c r="G484" s="2">
        <v>4.4000000000000004</v>
      </c>
      <c r="H484" s="2">
        <v>12</v>
      </c>
      <c r="I484" s="2">
        <v>6.7</v>
      </c>
      <c r="J484" t="s">
        <v>75</v>
      </c>
      <c r="K484" s="2">
        <v>7.6</v>
      </c>
      <c r="L484" s="3">
        <v>172.7</v>
      </c>
    </row>
    <row r="485" spans="1:12" x14ac:dyDescent="0.3">
      <c r="A485">
        <v>484</v>
      </c>
      <c r="B485" t="s">
        <v>529</v>
      </c>
      <c r="C485">
        <v>2014</v>
      </c>
      <c r="D485" t="s">
        <v>53</v>
      </c>
      <c r="E485" t="s">
        <v>30</v>
      </c>
      <c r="F485">
        <v>145</v>
      </c>
      <c r="G485" s="2">
        <v>149</v>
      </c>
      <c r="H485" s="2">
        <v>90.4</v>
      </c>
      <c r="I485" s="2">
        <v>7.9</v>
      </c>
      <c r="J485" t="s">
        <v>91</v>
      </c>
      <c r="K485" s="2">
        <v>-58.6</v>
      </c>
      <c r="L485" s="3">
        <v>-39.299999999999997</v>
      </c>
    </row>
    <row r="486" spans="1:12" x14ac:dyDescent="0.3">
      <c r="A486">
        <v>485</v>
      </c>
      <c r="B486" t="s">
        <v>530</v>
      </c>
      <c r="C486">
        <v>2002</v>
      </c>
      <c r="D486" t="s">
        <v>25</v>
      </c>
      <c r="E486" t="s">
        <v>22</v>
      </c>
      <c r="F486">
        <v>121</v>
      </c>
      <c r="G486" s="2">
        <v>47.5</v>
      </c>
      <c r="H486" s="2">
        <v>188.4</v>
      </c>
      <c r="I486" s="2">
        <v>8.6999999999999993</v>
      </c>
      <c r="J486" t="s">
        <v>91</v>
      </c>
      <c r="K486" s="2">
        <v>140.9</v>
      </c>
      <c r="L486" s="3">
        <v>296.60000000000002</v>
      </c>
    </row>
    <row r="487" spans="1:12" x14ac:dyDescent="0.3">
      <c r="A487">
        <v>486</v>
      </c>
      <c r="B487" t="s">
        <v>531</v>
      </c>
      <c r="C487">
        <v>2017</v>
      </c>
      <c r="D487" t="s">
        <v>65</v>
      </c>
      <c r="E487" t="s">
        <v>22</v>
      </c>
      <c r="F487">
        <v>99</v>
      </c>
      <c r="G487" s="2">
        <v>96.7</v>
      </c>
      <c r="H487" s="2">
        <v>78.5</v>
      </c>
      <c r="I487" s="2">
        <v>7.2</v>
      </c>
      <c r="J487" t="s">
        <v>34</v>
      </c>
      <c r="K487" s="2">
        <v>-18.2</v>
      </c>
      <c r="L487" s="3">
        <v>-18.8</v>
      </c>
    </row>
    <row r="488" spans="1:12" x14ac:dyDescent="0.3">
      <c r="A488">
        <v>487</v>
      </c>
      <c r="B488" t="s">
        <v>532</v>
      </c>
      <c r="C488">
        <v>2002</v>
      </c>
      <c r="D488" t="s">
        <v>13</v>
      </c>
      <c r="E488" t="s">
        <v>22</v>
      </c>
      <c r="F488">
        <v>140</v>
      </c>
      <c r="G488" s="2">
        <v>141.80000000000001</v>
      </c>
      <c r="H488" s="2">
        <v>363.9</v>
      </c>
      <c r="I488" s="2">
        <v>7.8</v>
      </c>
      <c r="J488" t="s">
        <v>34</v>
      </c>
      <c r="K488" s="2">
        <v>222.1</v>
      </c>
      <c r="L488" s="3">
        <v>156.6</v>
      </c>
    </row>
    <row r="489" spans="1:12" x14ac:dyDescent="0.3">
      <c r="A489">
        <v>488</v>
      </c>
      <c r="B489" t="s">
        <v>533</v>
      </c>
      <c r="C489">
        <v>2002</v>
      </c>
      <c r="D489" t="s">
        <v>65</v>
      </c>
      <c r="E489" t="s">
        <v>22</v>
      </c>
      <c r="F489">
        <v>123</v>
      </c>
      <c r="G489" s="2">
        <v>67.2</v>
      </c>
      <c r="H489" s="2">
        <v>77.8</v>
      </c>
      <c r="I489" s="2">
        <v>7.1</v>
      </c>
      <c r="J489" t="s">
        <v>23</v>
      </c>
      <c r="K489" s="2">
        <v>10.6</v>
      </c>
      <c r="L489" s="3">
        <v>15.8</v>
      </c>
    </row>
    <row r="490" spans="1:12" x14ac:dyDescent="0.3">
      <c r="A490">
        <v>489</v>
      </c>
      <c r="B490" t="s">
        <v>534</v>
      </c>
      <c r="C490">
        <v>1990</v>
      </c>
      <c r="D490" t="s">
        <v>65</v>
      </c>
      <c r="E490" t="s">
        <v>18</v>
      </c>
      <c r="F490">
        <v>155</v>
      </c>
      <c r="G490" s="2">
        <v>6.2</v>
      </c>
      <c r="H490" s="2">
        <v>8.1999999999999993</v>
      </c>
      <c r="I490" s="2">
        <v>8.1999999999999993</v>
      </c>
      <c r="J490" t="s">
        <v>59</v>
      </c>
      <c r="K490" s="2">
        <v>2</v>
      </c>
      <c r="L490" s="3">
        <v>32.299999999999997</v>
      </c>
    </row>
    <row r="491" spans="1:12" x14ac:dyDescent="0.3">
      <c r="A491">
        <v>490</v>
      </c>
      <c r="B491" t="s">
        <v>535</v>
      </c>
      <c r="C491">
        <v>2015</v>
      </c>
      <c r="D491" t="s">
        <v>53</v>
      </c>
      <c r="E491" t="s">
        <v>18</v>
      </c>
      <c r="F491">
        <v>132</v>
      </c>
      <c r="G491" s="2">
        <v>28.2</v>
      </c>
      <c r="H491" s="2">
        <v>13.7</v>
      </c>
      <c r="I491" s="2">
        <v>8.9</v>
      </c>
      <c r="J491" t="s">
        <v>48</v>
      </c>
      <c r="K491" s="2">
        <v>-14.5</v>
      </c>
      <c r="L491" s="3">
        <v>-51.4</v>
      </c>
    </row>
    <row r="492" spans="1:12" x14ac:dyDescent="0.3">
      <c r="A492">
        <v>491</v>
      </c>
      <c r="B492" t="s">
        <v>536</v>
      </c>
      <c r="C492">
        <v>2017</v>
      </c>
      <c r="D492" t="s">
        <v>45</v>
      </c>
      <c r="E492" t="s">
        <v>22</v>
      </c>
      <c r="F492">
        <v>159</v>
      </c>
      <c r="G492" s="2">
        <v>27.1</v>
      </c>
      <c r="H492" s="2">
        <v>65.3</v>
      </c>
      <c r="I492" s="2">
        <v>5.5</v>
      </c>
      <c r="J492" t="s">
        <v>28</v>
      </c>
      <c r="K492" s="2">
        <v>38.200000000000003</v>
      </c>
      <c r="L492" s="3">
        <v>141</v>
      </c>
    </row>
    <row r="493" spans="1:12" x14ac:dyDescent="0.3">
      <c r="A493">
        <v>492</v>
      </c>
      <c r="B493" t="s">
        <v>537</v>
      </c>
      <c r="C493">
        <v>2007</v>
      </c>
      <c r="D493" t="s">
        <v>17</v>
      </c>
      <c r="E493" t="s">
        <v>22</v>
      </c>
      <c r="F493">
        <v>98</v>
      </c>
      <c r="G493" s="2">
        <v>40.9</v>
      </c>
      <c r="H493" s="2">
        <v>63.9</v>
      </c>
      <c r="I493" s="2">
        <v>6.2</v>
      </c>
      <c r="J493" t="s">
        <v>91</v>
      </c>
      <c r="K493" s="2">
        <v>23</v>
      </c>
      <c r="L493" s="3">
        <v>56.2</v>
      </c>
    </row>
    <row r="494" spans="1:12" x14ac:dyDescent="0.3">
      <c r="A494">
        <v>493</v>
      </c>
      <c r="B494" t="s">
        <v>538</v>
      </c>
      <c r="C494">
        <v>2013</v>
      </c>
      <c r="D494" t="s">
        <v>36</v>
      </c>
      <c r="E494" t="s">
        <v>22</v>
      </c>
      <c r="F494">
        <v>110</v>
      </c>
      <c r="G494" s="2">
        <v>63.3</v>
      </c>
      <c r="H494" s="2">
        <v>191.8</v>
      </c>
      <c r="I494" s="2">
        <v>8.1999999999999993</v>
      </c>
      <c r="J494" t="s">
        <v>79</v>
      </c>
      <c r="K494" s="2">
        <v>128.5</v>
      </c>
      <c r="L494" s="3">
        <v>203</v>
      </c>
    </row>
    <row r="495" spans="1:12" x14ac:dyDescent="0.3">
      <c r="A495">
        <v>494</v>
      </c>
      <c r="B495" t="s">
        <v>539</v>
      </c>
      <c r="C495">
        <v>2020</v>
      </c>
      <c r="D495" t="s">
        <v>13</v>
      </c>
      <c r="E495" t="s">
        <v>22</v>
      </c>
      <c r="F495">
        <v>104</v>
      </c>
      <c r="G495" s="2">
        <v>48.2</v>
      </c>
      <c r="H495" s="2">
        <v>99.9</v>
      </c>
      <c r="I495" s="2">
        <v>6.5</v>
      </c>
      <c r="J495" t="s">
        <v>57</v>
      </c>
      <c r="K495" s="2">
        <v>51.7</v>
      </c>
      <c r="L495" s="3">
        <v>107.3</v>
      </c>
    </row>
    <row r="496" spans="1:12" x14ac:dyDescent="0.3">
      <c r="A496">
        <v>495</v>
      </c>
      <c r="B496" t="s">
        <v>540</v>
      </c>
      <c r="C496">
        <v>2006</v>
      </c>
      <c r="D496" t="s">
        <v>45</v>
      </c>
      <c r="E496" t="s">
        <v>22</v>
      </c>
      <c r="F496">
        <v>124</v>
      </c>
      <c r="G496" s="2">
        <v>54.8</v>
      </c>
      <c r="H496" s="2">
        <v>88.1</v>
      </c>
      <c r="I496" s="2">
        <v>7.7</v>
      </c>
      <c r="J496" t="s">
        <v>79</v>
      </c>
      <c r="K496" s="2">
        <v>33.299999999999997</v>
      </c>
      <c r="L496" s="3">
        <v>60.8</v>
      </c>
    </row>
    <row r="497" spans="1:12" x14ac:dyDescent="0.3">
      <c r="A497">
        <v>496</v>
      </c>
      <c r="B497" t="s">
        <v>541</v>
      </c>
      <c r="C497">
        <v>2024</v>
      </c>
      <c r="D497" t="s">
        <v>25</v>
      </c>
      <c r="E497" t="s">
        <v>22</v>
      </c>
      <c r="F497">
        <v>128</v>
      </c>
      <c r="G497" s="2">
        <v>33.4</v>
      </c>
      <c r="H497" s="2">
        <v>53.9</v>
      </c>
      <c r="I497" s="2">
        <v>6.8</v>
      </c>
      <c r="J497" t="s">
        <v>57</v>
      </c>
      <c r="K497" s="2">
        <v>20.5</v>
      </c>
      <c r="L497" s="3">
        <v>61.4</v>
      </c>
    </row>
    <row r="498" spans="1:12" x14ac:dyDescent="0.3">
      <c r="A498">
        <v>497</v>
      </c>
      <c r="B498" t="s">
        <v>542</v>
      </c>
      <c r="C498">
        <v>1990</v>
      </c>
      <c r="D498" t="s">
        <v>13</v>
      </c>
      <c r="E498" t="s">
        <v>22</v>
      </c>
      <c r="F498">
        <v>130</v>
      </c>
      <c r="G498" s="2">
        <v>128</v>
      </c>
      <c r="H498" s="2">
        <v>458.9</v>
      </c>
      <c r="I498" s="2">
        <v>8.5</v>
      </c>
      <c r="J498" t="s">
        <v>34</v>
      </c>
      <c r="K498" s="2">
        <v>330.9</v>
      </c>
      <c r="L498" s="3">
        <v>258.5</v>
      </c>
    </row>
    <row r="499" spans="1:12" x14ac:dyDescent="0.3">
      <c r="A499">
        <v>498</v>
      </c>
      <c r="B499" t="s">
        <v>543</v>
      </c>
      <c r="C499">
        <v>1998</v>
      </c>
      <c r="D499" t="s">
        <v>17</v>
      </c>
      <c r="E499" t="s">
        <v>22</v>
      </c>
      <c r="F499">
        <v>114</v>
      </c>
      <c r="G499" s="2">
        <v>95.8</v>
      </c>
      <c r="H499" s="2">
        <v>225.6</v>
      </c>
      <c r="I499" s="2">
        <v>6.6</v>
      </c>
      <c r="J499" t="s">
        <v>34</v>
      </c>
      <c r="K499" s="2">
        <v>129.80000000000001</v>
      </c>
      <c r="L499" s="3">
        <v>135.5</v>
      </c>
    </row>
    <row r="500" spans="1:12" x14ac:dyDescent="0.3">
      <c r="A500">
        <v>499</v>
      </c>
      <c r="B500" t="s">
        <v>544</v>
      </c>
      <c r="C500">
        <v>2014</v>
      </c>
      <c r="D500" t="s">
        <v>17</v>
      </c>
      <c r="E500" t="s">
        <v>18</v>
      </c>
      <c r="F500">
        <v>126</v>
      </c>
      <c r="G500" s="2">
        <v>4.5</v>
      </c>
      <c r="H500" s="2">
        <v>5.0999999999999996</v>
      </c>
      <c r="I500" s="2">
        <v>6.5</v>
      </c>
      <c r="J500" t="s">
        <v>19</v>
      </c>
      <c r="K500" s="2">
        <v>0.6</v>
      </c>
      <c r="L500" s="3">
        <v>13.3</v>
      </c>
    </row>
    <row r="501" spans="1:12" x14ac:dyDescent="0.3">
      <c r="A501">
        <v>500</v>
      </c>
      <c r="B501" t="s">
        <v>545</v>
      </c>
      <c r="C501">
        <v>1998</v>
      </c>
      <c r="D501" t="s">
        <v>17</v>
      </c>
      <c r="E501" t="s">
        <v>22</v>
      </c>
      <c r="F501">
        <v>85</v>
      </c>
      <c r="G501" s="2">
        <v>144.80000000000001</v>
      </c>
      <c r="H501" s="2">
        <v>733.7</v>
      </c>
      <c r="I501" s="2">
        <v>7.6</v>
      </c>
      <c r="J501" t="s">
        <v>28</v>
      </c>
      <c r="K501" s="2">
        <v>588.9</v>
      </c>
      <c r="L501" s="3">
        <v>406.7</v>
      </c>
    </row>
    <row r="502" spans="1:12" x14ac:dyDescent="0.3">
      <c r="A502">
        <v>501</v>
      </c>
      <c r="B502" t="s">
        <v>546</v>
      </c>
      <c r="C502">
        <v>2005</v>
      </c>
      <c r="D502" t="s">
        <v>65</v>
      </c>
      <c r="E502" t="s">
        <v>33</v>
      </c>
      <c r="F502">
        <v>129</v>
      </c>
      <c r="G502" s="2">
        <v>72.3</v>
      </c>
      <c r="H502" s="2">
        <v>218.4</v>
      </c>
      <c r="I502" s="2">
        <v>6.7</v>
      </c>
      <c r="J502" t="s">
        <v>31</v>
      </c>
      <c r="K502" s="2">
        <v>146.1</v>
      </c>
      <c r="L502" s="3">
        <v>202.1</v>
      </c>
    </row>
    <row r="503" spans="1:12" x14ac:dyDescent="0.3">
      <c r="A503">
        <v>502</v>
      </c>
      <c r="B503" t="s">
        <v>547</v>
      </c>
      <c r="C503">
        <v>1992</v>
      </c>
      <c r="D503" t="s">
        <v>25</v>
      </c>
      <c r="E503" t="s">
        <v>22</v>
      </c>
      <c r="F503">
        <v>117</v>
      </c>
      <c r="G503" s="2">
        <v>48.4</v>
      </c>
      <c r="H503" s="2">
        <v>101</v>
      </c>
      <c r="I503" s="2">
        <v>5.9</v>
      </c>
      <c r="J503" t="s">
        <v>91</v>
      </c>
      <c r="K503" s="2">
        <v>52.6</v>
      </c>
      <c r="L503" s="3">
        <v>108.7</v>
      </c>
    </row>
    <row r="504" spans="1:12" x14ac:dyDescent="0.3">
      <c r="A504">
        <v>503</v>
      </c>
      <c r="B504" t="s">
        <v>548</v>
      </c>
      <c r="C504">
        <v>1998</v>
      </c>
      <c r="D504" t="s">
        <v>36</v>
      </c>
      <c r="E504" t="s">
        <v>22</v>
      </c>
      <c r="F504">
        <v>129</v>
      </c>
      <c r="G504" s="2">
        <v>104.8</v>
      </c>
      <c r="H504" s="2">
        <v>358</v>
      </c>
      <c r="I504" s="2">
        <v>6.9</v>
      </c>
      <c r="J504" t="s">
        <v>28</v>
      </c>
      <c r="K504" s="2">
        <v>253.2</v>
      </c>
      <c r="L504" s="3">
        <v>241.6</v>
      </c>
    </row>
    <row r="505" spans="1:12" x14ac:dyDescent="0.3">
      <c r="A505">
        <v>504</v>
      </c>
      <c r="B505" t="s">
        <v>549</v>
      </c>
      <c r="C505">
        <v>2015</v>
      </c>
      <c r="D505" t="s">
        <v>36</v>
      </c>
      <c r="E505" t="s">
        <v>14</v>
      </c>
      <c r="F505">
        <v>106</v>
      </c>
      <c r="G505" s="2">
        <v>48.1</v>
      </c>
      <c r="H505" s="2">
        <v>54</v>
      </c>
      <c r="I505" s="2">
        <v>7</v>
      </c>
      <c r="J505" t="s">
        <v>15</v>
      </c>
      <c r="K505" s="2">
        <v>5.9</v>
      </c>
      <c r="L505" s="3">
        <v>12.3</v>
      </c>
    </row>
    <row r="506" spans="1:12" x14ac:dyDescent="0.3">
      <c r="A506">
        <v>505</v>
      </c>
      <c r="B506" t="s">
        <v>550</v>
      </c>
      <c r="C506">
        <v>2014</v>
      </c>
      <c r="D506" t="s">
        <v>45</v>
      </c>
      <c r="E506" t="s">
        <v>18</v>
      </c>
      <c r="F506">
        <v>107</v>
      </c>
      <c r="G506" s="2">
        <v>3.2</v>
      </c>
      <c r="H506" s="2">
        <v>7.4</v>
      </c>
      <c r="I506" s="2">
        <v>6.3</v>
      </c>
      <c r="J506" t="s">
        <v>59</v>
      </c>
      <c r="K506" s="2">
        <v>4.2</v>
      </c>
      <c r="L506" s="3">
        <v>131.19999999999999</v>
      </c>
    </row>
    <row r="507" spans="1:12" x14ac:dyDescent="0.3">
      <c r="A507">
        <v>506</v>
      </c>
      <c r="B507" t="s">
        <v>551</v>
      </c>
      <c r="C507">
        <v>2008</v>
      </c>
      <c r="D507" t="s">
        <v>17</v>
      </c>
      <c r="E507" t="s">
        <v>66</v>
      </c>
      <c r="F507">
        <v>144</v>
      </c>
      <c r="G507" s="2">
        <v>40.6</v>
      </c>
      <c r="H507" s="2">
        <v>172.1</v>
      </c>
      <c r="I507" s="2">
        <v>8</v>
      </c>
      <c r="J507" t="s">
        <v>31</v>
      </c>
      <c r="K507" s="2">
        <v>131.5</v>
      </c>
      <c r="L507" s="3">
        <v>323.89999999999998</v>
      </c>
    </row>
    <row r="508" spans="1:12" x14ac:dyDescent="0.3">
      <c r="A508">
        <v>507</v>
      </c>
      <c r="B508" t="s">
        <v>552</v>
      </c>
      <c r="C508">
        <v>2003</v>
      </c>
      <c r="D508" t="s">
        <v>13</v>
      </c>
      <c r="E508" t="s">
        <v>18</v>
      </c>
      <c r="F508">
        <v>128</v>
      </c>
      <c r="G508" s="2">
        <v>13</v>
      </c>
      <c r="H508" s="2">
        <v>14.5</v>
      </c>
      <c r="I508" s="2">
        <v>6.8</v>
      </c>
      <c r="J508" t="s">
        <v>59</v>
      </c>
      <c r="K508" s="2">
        <v>1.5</v>
      </c>
      <c r="L508" s="3">
        <v>11.5</v>
      </c>
    </row>
    <row r="509" spans="1:12" x14ac:dyDescent="0.3">
      <c r="A509">
        <v>508</v>
      </c>
      <c r="B509" t="s">
        <v>553</v>
      </c>
      <c r="C509">
        <v>2006</v>
      </c>
      <c r="D509" t="s">
        <v>65</v>
      </c>
      <c r="E509" t="s">
        <v>14</v>
      </c>
      <c r="F509">
        <v>187</v>
      </c>
      <c r="G509" s="2">
        <v>90.2</v>
      </c>
      <c r="H509" s="2">
        <v>68.3</v>
      </c>
      <c r="I509" s="2">
        <v>6.9</v>
      </c>
      <c r="J509" t="s">
        <v>15</v>
      </c>
      <c r="K509" s="2">
        <v>-21.9</v>
      </c>
      <c r="L509" s="3">
        <v>-24.3</v>
      </c>
    </row>
    <row r="510" spans="1:12" x14ac:dyDescent="0.3">
      <c r="A510">
        <v>509</v>
      </c>
      <c r="B510" t="s">
        <v>554</v>
      </c>
      <c r="C510">
        <v>1995</v>
      </c>
      <c r="D510" t="s">
        <v>45</v>
      </c>
      <c r="E510" t="s">
        <v>22</v>
      </c>
      <c r="F510">
        <v>96</v>
      </c>
      <c r="G510" s="2">
        <v>111.4</v>
      </c>
      <c r="H510" s="2">
        <v>160</v>
      </c>
      <c r="I510" s="2">
        <v>6.7</v>
      </c>
      <c r="J510" t="s">
        <v>57</v>
      </c>
      <c r="K510" s="2">
        <v>48.6</v>
      </c>
      <c r="L510" s="3">
        <v>43.6</v>
      </c>
    </row>
    <row r="511" spans="1:12" x14ac:dyDescent="0.3">
      <c r="A511">
        <v>510</v>
      </c>
      <c r="B511" t="s">
        <v>555</v>
      </c>
      <c r="C511">
        <v>2000</v>
      </c>
      <c r="D511" t="s">
        <v>47</v>
      </c>
      <c r="E511" t="s">
        <v>22</v>
      </c>
      <c r="F511">
        <v>120</v>
      </c>
      <c r="G511" s="2">
        <v>78.400000000000006</v>
      </c>
      <c r="H511" s="2">
        <v>143.30000000000001</v>
      </c>
      <c r="I511" s="2">
        <v>6.6</v>
      </c>
      <c r="J511" t="s">
        <v>23</v>
      </c>
      <c r="K511" s="2">
        <v>64.900000000000006</v>
      </c>
      <c r="L511" s="3">
        <v>82.8</v>
      </c>
    </row>
    <row r="512" spans="1:12" x14ac:dyDescent="0.3">
      <c r="A512">
        <v>511</v>
      </c>
      <c r="B512" t="s">
        <v>556</v>
      </c>
      <c r="C512">
        <v>1997</v>
      </c>
      <c r="D512" t="s">
        <v>47</v>
      </c>
      <c r="E512" t="s">
        <v>22</v>
      </c>
      <c r="F512">
        <v>150</v>
      </c>
      <c r="G512" s="2">
        <v>125</v>
      </c>
      <c r="H512" s="2">
        <v>551.79999999999995</v>
      </c>
      <c r="I512" s="2">
        <v>7.6</v>
      </c>
      <c r="J512" t="s">
        <v>23</v>
      </c>
      <c r="K512" s="2">
        <v>426.8</v>
      </c>
      <c r="L512" s="3">
        <v>341.4</v>
      </c>
    </row>
    <row r="513" spans="1:12" x14ac:dyDescent="0.3">
      <c r="A513">
        <v>512</v>
      </c>
      <c r="B513" t="s">
        <v>557</v>
      </c>
      <c r="C513">
        <v>1996</v>
      </c>
      <c r="D513" t="s">
        <v>45</v>
      </c>
      <c r="E513" t="s">
        <v>22</v>
      </c>
      <c r="F513">
        <v>115</v>
      </c>
      <c r="G513" s="2">
        <v>97.4</v>
      </c>
      <c r="H513" s="2">
        <v>294.7</v>
      </c>
      <c r="I513" s="2">
        <v>8</v>
      </c>
      <c r="J513" t="s">
        <v>51</v>
      </c>
      <c r="K513" s="2">
        <v>197.3</v>
      </c>
      <c r="L513" s="3">
        <v>202.6</v>
      </c>
    </row>
    <row r="514" spans="1:12" x14ac:dyDescent="0.3">
      <c r="A514">
        <v>513</v>
      </c>
      <c r="B514" t="s">
        <v>558</v>
      </c>
      <c r="C514">
        <v>2025</v>
      </c>
      <c r="D514" t="s">
        <v>17</v>
      </c>
      <c r="E514" t="s">
        <v>22</v>
      </c>
      <c r="F514">
        <v>156</v>
      </c>
      <c r="G514" s="2">
        <v>58</v>
      </c>
      <c r="H514" s="2">
        <v>264.3</v>
      </c>
      <c r="I514" s="2">
        <v>6.6</v>
      </c>
      <c r="J514" t="s">
        <v>57</v>
      </c>
      <c r="K514" s="2">
        <v>206.3</v>
      </c>
      <c r="L514" s="3">
        <v>355.7</v>
      </c>
    </row>
    <row r="515" spans="1:12" x14ac:dyDescent="0.3">
      <c r="A515">
        <v>514</v>
      </c>
      <c r="B515" t="s">
        <v>559</v>
      </c>
      <c r="C515">
        <v>2003</v>
      </c>
      <c r="D515" t="s">
        <v>45</v>
      </c>
      <c r="E515" t="s">
        <v>18</v>
      </c>
      <c r="F515">
        <v>132</v>
      </c>
      <c r="G515" s="2">
        <v>6.7</v>
      </c>
      <c r="H515" s="2">
        <v>14.7</v>
      </c>
      <c r="I515" s="2">
        <v>6.7</v>
      </c>
      <c r="J515" t="s">
        <v>19</v>
      </c>
      <c r="K515" s="2">
        <v>8</v>
      </c>
      <c r="L515" s="3">
        <v>119.4</v>
      </c>
    </row>
    <row r="516" spans="1:12" x14ac:dyDescent="0.3">
      <c r="A516">
        <v>515</v>
      </c>
      <c r="B516" t="s">
        <v>560</v>
      </c>
      <c r="C516">
        <v>2003</v>
      </c>
      <c r="D516" t="s">
        <v>65</v>
      </c>
      <c r="E516" t="s">
        <v>22</v>
      </c>
      <c r="F516">
        <v>90</v>
      </c>
      <c r="G516" s="2">
        <v>117.8</v>
      </c>
      <c r="H516" s="2">
        <v>145.30000000000001</v>
      </c>
      <c r="I516" s="2">
        <v>7</v>
      </c>
      <c r="J516" t="s">
        <v>34</v>
      </c>
      <c r="K516" s="2">
        <v>27.5</v>
      </c>
      <c r="L516" s="3">
        <v>23.3</v>
      </c>
    </row>
    <row r="517" spans="1:12" x14ac:dyDescent="0.3">
      <c r="A517">
        <v>516</v>
      </c>
      <c r="B517" t="s">
        <v>561</v>
      </c>
      <c r="C517">
        <v>2013</v>
      </c>
      <c r="D517" t="s">
        <v>21</v>
      </c>
      <c r="E517" t="s">
        <v>127</v>
      </c>
      <c r="F517">
        <v>132</v>
      </c>
      <c r="G517" s="2">
        <v>74.900000000000006</v>
      </c>
      <c r="H517" s="2">
        <v>97.3</v>
      </c>
      <c r="I517" s="2">
        <v>5.6</v>
      </c>
      <c r="J517" t="s">
        <v>57</v>
      </c>
      <c r="K517" s="2">
        <v>22.4</v>
      </c>
      <c r="L517" s="3">
        <v>29.9</v>
      </c>
    </row>
    <row r="518" spans="1:12" x14ac:dyDescent="0.3">
      <c r="A518">
        <v>517</v>
      </c>
      <c r="B518" t="s">
        <v>562</v>
      </c>
      <c r="C518">
        <v>2007</v>
      </c>
      <c r="D518" t="s">
        <v>27</v>
      </c>
      <c r="E518" t="s">
        <v>18</v>
      </c>
      <c r="F518">
        <v>108</v>
      </c>
      <c r="G518" s="2">
        <v>10.9</v>
      </c>
      <c r="H518" s="2">
        <v>20.9</v>
      </c>
      <c r="I518" s="2">
        <v>4.7</v>
      </c>
      <c r="J518" t="s">
        <v>48</v>
      </c>
      <c r="K518" s="2">
        <v>10</v>
      </c>
      <c r="L518" s="3">
        <v>91.7</v>
      </c>
    </row>
    <row r="519" spans="1:12" x14ac:dyDescent="0.3">
      <c r="A519">
        <v>518</v>
      </c>
      <c r="B519" t="s">
        <v>563</v>
      </c>
      <c r="C519">
        <v>2014</v>
      </c>
      <c r="D519" t="s">
        <v>17</v>
      </c>
      <c r="E519" t="s">
        <v>22</v>
      </c>
      <c r="F519">
        <v>90</v>
      </c>
      <c r="G519" s="2">
        <v>164.9</v>
      </c>
      <c r="H519" s="2">
        <v>804.8</v>
      </c>
      <c r="I519" s="2">
        <v>6.8</v>
      </c>
      <c r="J519" t="s">
        <v>40</v>
      </c>
      <c r="K519" s="2">
        <v>639.9</v>
      </c>
      <c r="L519" s="3">
        <v>388.1</v>
      </c>
    </row>
    <row r="520" spans="1:12" x14ac:dyDescent="0.3">
      <c r="A520">
        <v>519</v>
      </c>
      <c r="B520" t="s">
        <v>564</v>
      </c>
      <c r="C520">
        <v>2006</v>
      </c>
      <c r="D520" t="s">
        <v>13</v>
      </c>
      <c r="E520" t="s">
        <v>22</v>
      </c>
      <c r="F520">
        <v>75</v>
      </c>
      <c r="G520" s="2">
        <v>72.5</v>
      </c>
      <c r="H520" s="2">
        <v>199.9</v>
      </c>
      <c r="I520" s="2">
        <v>7.1</v>
      </c>
      <c r="J520" t="s">
        <v>31</v>
      </c>
      <c r="K520" s="2">
        <v>127.4</v>
      </c>
      <c r="L520" s="3">
        <v>175.7</v>
      </c>
    </row>
    <row r="521" spans="1:12" x14ac:dyDescent="0.3">
      <c r="A521">
        <v>520</v>
      </c>
      <c r="B521" t="s">
        <v>565</v>
      </c>
      <c r="C521">
        <v>2009</v>
      </c>
      <c r="D521" t="s">
        <v>25</v>
      </c>
      <c r="E521" t="s">
        <v>22</v>
      </c>
      <c r="F521">
        <v>125</v>
      </c>
      <c r="G521" s="2">
        <v>49.2</v>
      </c>
      <c r="H521" s="2">
        <v>71.7</v>
      </c>
      <c r="I521" s="2">
        <v>5.9</v>
      </c>
      <c r="J521" t="s">
        <v>40</v>
      </c>
      <c r="K521" s="2">
        <v>22.5</v>
      </c>
      <c r="L521" s="3">
        <v>45.7</v>
      </c>
    </row>
    <row r="522" spans="1:12" x14ac:dyDescent="0.3">
      <c r="A522">
        <v>521</v>
      </c>
      <c r="B522" t="s">
        <v>566</v>
      </c>
      <c r="C522">
        <v>1998</v>
      </c>
      <c r="D522" t="s">
        <v>17</v>
      </c>
      <c r="E522" t="s">
        <v>22</v>
      </c>
      <c r="F522">
        <v>107</v>
      </c>
      <c r="G522" s="2">
        <v>96.1</v>
      </c>
      <c r="H522" s="2">
        <v>100.5</v>
      </c>
      <c r="I522" s="2">
        <v>7.2</v>
      </c>
      <c r="J522" t="s">
        <v>51</v>
      </c>
      <c r="K522" s="2">
        <v>4.4000000000000004</v>
      </c>
      <c r="L522" s="3">
        <v>4.5999999999999996</v>
      </c>
    </row>
    <row r="523" spans="1:12" x14ac:dyDescent="0.3">
      <c r="A523">
        <v>522</v>
      </c>
      <c r="B523" t="s">
        <v>567</v>
      </c>
      <c r="C523">
        <v>1990</v>
      </c>
      <c r="D523" t="s">
        <v>13</v>
      </c>
      <c r="E523" t="s">
        <v>18</v>
      </c>
      <c r="F523">
        <v>117</v>
      </c>
      <c r="G523" s="2">
        <v>4.8</v>
      </c>
      <c r="H523" s="2">
        <v>10.3</v>
      </c>
      <c r="I523" s="2">
        <v>5.8</v>
      </c>
      <c r="J523" t="s">
        <v>48</v>
      </c>
      <c r="K523" s="2">
        <v>5.5</v>
      </c>
      <c r="L523" s="3">
        <v>114.6</v>
      </c>
    </row>
    <row r="524" spans="1:12" x14ac:dyDescent="0.3">
      <c r="A524">
        <v>523</v>
      </c>
      <c r="B524" t="s">
        <v>568</v>
      </c>
      <c r="C524">
        <v>2017</v>
      </c>
      <c r="D524" t="s">
        <v>13</v>
      </c>
      <c r="E524" t="s">
        <v>30</v>
      </c>
      <c r="F524">
        <v>122</v>
      </c>
      <c r="G524" s="2">
        <v>46.2</v>
      </c>
      <c r="H524" s="2">
        <v>164.3</v>
      </c>
      <c r="I524" s="2">
        <v>6.5</v>
      </c>
      <c r="J524" t="s">
        <v>34</v>
      </c>
      <c r="K524" s="2">
        <v>118.1</v>
      </c>
      <c r="L524" s="3">
        <v>255.6</v>
      </c>
    </row>
    <row r="525" spans="1:12" x14ac:dyDescent="0.3">
      <c r="A525">
        <v>524</v>
      </c>
      <c r="B525" t="s">
        <v>569</v>
      </c>
      <c r="C525">
        <v>2006</v>
      </c>
      <c r="D525" t="s">
        <v>47</v>
      </c>
      <c r="E525" t="s">
        <v>18</v>
      </c>
      <c r="F525">
        <v>75</v>
      </c>
      <c r="G525" s="2">
        <v>8</v>
      </c>
      <c r="H525" s="2">
        <v>31.1</v>
      </c>
      <c r="I525" s="2">
        <v>7.1</v>
      </c>
      <c r="J525" t="s">
        <v>75</v>
      </c>
      <c r="K525" s="2">
        <v>23.1</v>
      </c>
      <c r="L525" s="3">
        <v>288.8</v>
      </c>
    </row>
    <row r="526" spans="1:12" x14ac:dyDescent="0.3">
      <c r="A526">
        <v>525</v>
      </c>
      <c r="B526" t="s">
        <v>570</v>
      </c>
      <c r="C526">
        <v>2007</v>
      </c>
      <c r="D526" t="s">
        <v>21</v>
      </c>
      <c r="E526" t="s">
        <v>18</v>
      </c>
      <c r="F526">
        <v>118</v>
      </c>
      <c r="G526" s="2">
        <v>23.9</v>
      </c>
      <c r="H526" s="2">
        <v>84.6</v>
      </c>
      <c r="I526" s="2">
        <v>7.3</v>
      </c>
      <c r="J526" t="s">
        <v>19</v>
      </c>
      <c r="K526" s="2">
        <v>60.7</v>
      </c>
      <c r="L526" s="3">
        <v>254</v>
      </c>
    </row>
    <row r="527" spans="1:12" x14ac:dyDescent="0.3">
      <c r="A527">
        <v>526</v>
      </c>
      <c r="B527" t="s">
        <v>571</v>
      </c>
      <c r="C527">
        <v>1998</v>
      </c>
      <c r="D527" t="s">
        <v>25</v>
      </c>
      <c r="E527" t="s">
        <v>22</v>
      </c>
      <c r="F527">
        <v>82</v>
      </c>
      <c r="G527" s="2">
        <v>70.900000000000006</v>
      </c>
      <c r="H527" s="2">
        <v>92.1</v>
      </c>
      <c r="I527" s="2">
        <v>6.1</v>
      </c>
      <c r="J527" t="s">
        <v>23</v>
      </c>
      <c r="K527" s="2">
        <v>21.2</v>
      </c>
      <c r="L527" s="3">
        <v>29.9</v>
      </c>
    </row>
    <row r="528" spans="1:12" x14ac:dyDescent="0.3">
      <c r="A528">
        <v>527</v>
      </c>
      <c r="B528" t="s">
        <v>572</v>
      </c>
      <c r="C528">
        <v>2011</v>
      </c>
      <c r="D528" t="s">
        <v>17</v>
      </c>
      <c r="E528" t="s">
        <v>22</v>
      </c>
      <c r="F528">
        <v>102</v>
      </c>
      <c r="G528" s="2">
        <v>14.5</v>
      </c>
      <c r="H528" s="2">
        <v>76.7</v>
      </c>
      <c r="I528" s="2">
        <v>7.7</v>
      </c>
      <c r="J528" t="s">
        <v>23</v>
      </c>
      <c r="K528" s="2">
        <v>62.2</v>
      </c>
      <c r="L528" s="3">
        <v>429</v>
      </c>
    </row>
    <row r="529" spans="1:12" x14ac:dyDescent="0.3">
      <c r="A529">
        <v>528</v>
      </c>
      <c r="B529" t="s">
        <v>573</v>
      </c>
      <c r="C529">
        <v>2023</v>
      </c>
      <c r="D529" t="s">
        <v>47</v>
      </c>
      <c r="E529" t="s">
        <v>22</v>
      </c>
      <c r="F529">
        <v>144</v>
      </c>
      <c r="G529" s="2">
        <v>29.4</v>
      </c>
      <c r="H529" s="2">
        <v>68.3</v>
      </c>
      <c r="I529" s="2">
        <v>6.1</v>
      </c>
      <c r="J529" t="s">
        <v>23</v>
      </c>
      <c r="K529" s="2">
        <v>38.9</v>
      </c>
      <c r="L529" s="3">
        <v>132.30000000000001</v>
      </c>
    </row>
    <row r="530" spans="1:12" x14ac:dyDescent="0.3">
      <c r="A530">
        <v>529</v>
      </c>
      <c r="B530" t="s">
        <v>574</v>
      </c>
      <c r="C530">
        <v>2014</v>
      </c>
      <c r="D530" t="s">
        <v>47</v>
      </c>
      <c r="E530" t="s">
        <v>39</v>
      </c>
      <c r="F530">
        <v>137</v>
      </c>
      <c r="G530" s="2">
        <v>45.8</v>
      </c>
      <c r="H530" s="2">
        <v>166.5</v>
      </c>
      <c r="I530" s="2">
        <v>7.6</v>
      </c>
      <c r="J530" t="s">
        <v>91</v>
      </c>
      <c r="K530" s="2">
        <v>120.7</v>
      </c>
      <c r="L530" s="3">
        <v>263.5</v>
      </c>
    </row>
    <row r="531" spans="1:12" x14ac:dyDescent="0.3">
      <c r="A531">
        <v>530</v>
      </c>
      <c r="B531" t="s">
        <v>575</v>
      </c>
      <c r="C531">
        <v>2015</v>
      </c>
      <c r="D531" t="s">
        <v>17</v>
      </c>
      <c r="E531" t="s">
        <v>39</v>
      </c>
      <c r="F531">
        <v>114</v>
      </c>
      <c r="G531" s="2">
        <v>40.200000000000003</v>
      </c>
      <c r="H531" s="2">
        <v>75.599999999999994</v>
      </c>
      <c r="I531" s="2">
        <v>6.3</v>
      </c>
      <c r="J531" t="s">
        <v>57</v>
      </c>
      <c r="K531" s="2">
        <v>35.4</v>
      </c>
      <c r="L531" s="3">
        <v>88.1</v>
      </c>
    </row>
    <row r="532" spans="1:12" x14ac:dyDescent="0.3">
      <c r="A532">
        <v>531</v>
      </c>
      <c r="B532" t="s">
        <v>576</v>
      </c>
      <c r="C532">
        <v>1993</v>
      </c>
      <c r="D532" t="s">
        <v>36</v>
      </c>
      <c r="E532" t="s">
        <v>22</v>
      </c>
      <c r="F532">
        <v>101</v>
      </c>
      <c r="G532" s="2">
        <v>103</v>
      </c>
      <c r="H532" s="2">
        <v>216.3</v>
      </c>
      <c r="I532" s="2">
        <v>7.5</v>
      </c>
      <c r="J532" t="s">
        <v>23</v>
      </c>
      <c r="K532" s="2">
        <v>113.3</v>
      </c>
      <c r="L532" s="3">
        <v>110</v>
      </c>
    </row>
    <row r="533" spans="1:12" x14ac:dyDescent="0.3">
      <c r="A533">
        <v>532</v>
      </c>
      <c r="B533" t="s">
        <v>577</v>
      </c>
      <c r="C533">
        <v>2009</v>
      </c>
      <c r="D533" t="s">
        <v>45</v>
      </c>
      <c r="E533" t="s">
        <v>22</v>
      </c>
      <c r="F533">
        <v>150</v>
      </c>
      <c r="G533" s="2">
        <v>55.1</v>
      </c>
      <c r="H533" s="2">
        <v>117.1</v>
      </c>
      <c r="I533" s="2">
        <v>6.4</v>
      </c>
      <c r="J533" t="s">
        <v>79</v>
      </c>
      <c r="K533" s="2">
        <v>62</v>
      </c>
      <c r="L533" s="3">
        <v>112.5</v>
      </c>
    </row>
    <row r="534" spans="1:12" x14ac:dyDescent="0.3">
      <c r="A534">
        <v>533</v>
      </c>
      <c r="B534" t="s">
        <v>578</v>
      </c>
      <c r="C534">
        <v>2012</v>
      </c>
      <c r="D534" t="s">
        <v>53</v>
      </c>
      <c r="E534" t="s">
        <v>22</v>
      </c>
      <c r="F534">
        <v>147</v>
      </c>
      <c r="G534" s="2">
        <v>144</v>
      </c>
      <c r="H534" s="2">
        <v>473.8</v>
      </c>
      <c r="I534" s="2">
        <v>7.4</v>
      </c>
      <c r="J534" t="s">
        <v>79</v>
      </c>
      <c r="K534" s="2">
        <v>329.8</v>
      </c>
      <c r="L534" s="3">
        <v>229</v>
      </c>
    </row>
    <row r="535" spans="1:12" x14ac:dyDescent="0.3">
      <c r="A535">
        <v>534</v>
      </c>
      <c r="B535" t="s">
        <v>579</v>
      </c>
      <c r="C535">
        <v>1991</v>
      </c>
      <c r="D535" t="s">
        <v>36</v>
      </c>
      <c r="E535" t="s">
        <v>22</v>
      </c>
      <c r="F535">
        <v>108</v>
      </c>
      <c r="G535" s="2">
        <v>47</v>
      </c>
      <c r="H535" s="2">
        <v>104.1</v>
      </c>
      <c r="I535" s="2">
        <v>9.1999999999999993</v>
      </c>
      <c r="J535" t="s">
        <v>37</v>
      </c>
      <c r="K535" s="2">
        <v>57.1</v>
      </c>
      <c r="L535" s="3">
        <v>121.5</v>
      </c>
    </row>
    <row r="536" spans="1:12" x14ac:dyDescent="0.3">
      <c r="A536">
        <v>535</v>
      </c>
      <c r="B536" t="s">
        <v>580</v>
      </c>
      <c r="C536">
        <v>2024</v>
      </c>
      <c r="D536" t="s">
        <v>17</v>
      </c>
      <c r="E536" t="s">
        <v>22</v>
      </c>
      <c r="F536">
        <v>163</v>
      </c>
      <c r="G536" s="2">
        <v>10.1</v>
      </c>
      <c r="H536" s="2">
        <v>41.8</v>
      </c>
      <c r="I536" s="2">
        <v>7.6</v>
      </c>
      <c r="J536" t="s">
        <v>34</v>
      </c>
      <c r="K536" s="2">
        <v>31.7</v>
      </c>
      <c r="L536" s="3">
        <v>313.89999999999998</v>
      </c>
    </row>
    <row r="537" spans="1:12" x14ac:dyDescent="0.3">
      <c r="A537">
        <v>536</v>
      </c>
      <c r="B537" t="s">
        <v>581</v>
      </c>
      <c r="C537">
        <v>1996</v>
      </c>
      <c r="D537" t="s">
        <v>47</v>
      </c>
      <c r="E537" t="s">
        <v>30</v>
      </c>
      <c r="F537">
        <v>147</v>
      </c>
      <c r="G537" s="2">
        <v>152.80000000000001</v>
      </c>
      <c r="H537" s="2">
        <v>684.5</v>
      </c>
      <c r="I537" s="2">
        <v>7.5</v>
      </c>
      <c r="J537" t="s">
        <v>31</v>
      </c>
      <c r="K537" s="2">
        <v>531.70000000000005</v>
      </c>
      <c r="L537" s="3">
        <v>348</v>
      </c>
    </row>
    <row r="538" spans="1:12" x14ac:dyDescent="0.3">
      <c r="A538">
        <v>537</v>
      </c>
      <c r="B538" t="s">
        <v>582</v>
      </c>
      <c r="C538">
        <v>2010</v>
      </c>
      <c r="D538" t="s">
        <v>65</v>
      </c>
      <c r="E538" t="s">
        <v>22</v>
      </c>
      <c r="F538">
        <v>126</v>
      </c>
      <c r="G538" s="2">
        <v>76.3</v>
      </c>
      <c r="H538" s="2">
        <v>170</v>
      </c>
      <c r="I538" s="2">
        <v>7.2</v>
      </c>
      <c r="J538" t="s">
        <v>79</v>
      </c>
      <c r="K538" s="2">
        <v>93.7</v>
      </c>
      <c r="L538" s="3">
        <v>122.8</v>
      </c>
    </row>
    <row r="539" spans="1:12" x14ac:dyDescent="0.3">
      <c r="A539">
        <v>538</v>
      </c>
      <c r="B539" t="s">
        <v>583</v>
      </c>
      <c r="C539">
        <v>2021</v>
      </c>
      <c r="D539" t="s">
        <v>65</v>
      </c>
      <c r="E539" t="s">
        <v>18</v>
      </c>
      <c r="F539">
        <v>142</v>
      </c>
      <c r="G539" s="2">
        <v>8.1</v>
      </c>
      <c r="H539" s="2">
        <v>4.8</v>
      </c>
      <c r="I539" s="2">
        <v>7.5</v>
      </c>
      <c r="J539" t="s">
        <v>59</v>
      </c>
      <c r="K539" s="2">
        <v>-3.3</v>
      </c>
      <c r="L539" s="3">
        <v>-40.700000000000003</v>
      </c>
    </row>
    <row r="540" spans="1:12" x14ac:dyDescent="0.3">
      <c r="A540">
        <v>539</v>
      </c>
      <c r="B540" t="s">
        <v>584</v>
      </c>
      <c r="C540">
        <v>1996</v>
      </c>
      <c r="D540" t="s">
        <v>65</v>
      </c>
      <c r="E540" t="s">
        <v>22</v>
      </c>
      <c r="F540">
        <v>128</v>
      </c>
      <c r="G540" s="2">
        <v>37.4</v>
      </c>
      <c r="H540" s="2">
        <v>117.4</v>
      </c>
      <c r="I540" s="2">
        <v>6.3</v>
      </c>
      <c r="J540" t="s">
        <v>51</v>
      </c>
      <c r="K540" s="2">
        <v>80</v>
      </c>
      <c r="L540" s="3">
        <v>213.9</v>
      </c>
    </row>
    <row r="541" spans="1:12" x14ac:dyDescent="0.3">
      <c r="A541">
        <v>540</v>
      </c>
      <c r="B541" t="s">
        <v>585</v>
      </c>
      <c r="C541">
        <v>2013</v>
      </c>
      <c r="D541" t="s">
        <v>25</v>
      </c>
      <c r="E541" t="s">
        <v>22</v>
      </c>
      <c r="F541">
        <v>158</v>
      </c>
      <c r="G541" s="2">
        <v>99.4</v>
      </c>
      <c r="H541" s="2">
        <v>226</v>
      </c>
      <c r="I541" s="2">
        <v>6.7</v>
      </c>
      <c r="J541" t="s">
        <v>57</v>
      </c>
      <c r="K541" s="2">
        <v>126.6</v>
      </c>
      <c r="L541" s="3">
        <v>127.4</v>
      </c>
    </row>
    <row r="542" spans="1:12" x14ac:dyDescent="0.3">
      <c r="A542">
        <v>541</v>
      </c>
      <c r="B542" t="s">
        <v>586</v>
      </c>
      <c r="C542">
        <v>2013</v>
      </c>
      <c r="D542" t="s">
        <v>65</v>
      </c>
      <c r="E542" t="s">
        <v>18</v>
      </c>
      <c r="F542">
        <v>132</v>
      </c>
      <c r="G542" s="2">
        <v>41.5</v>
      </c>
      <c r="H542" s="2">
        <v>100.7</v>
      </c>
      <c r="I542" s="2">
        <v>8.5</v>
      </c>
      <c r="J542" t="s">
        <v>75</v>
      </c>
      <c r="K542" s="2">
        <v>59.2</v>
      </c>
      <c r="L542" s="3">
        <v>142.69999999999999</v>
      </c>
    </row>
    <row r="543" spans="1:12" x14ac:dyDescent="0.3">
      <c r="A543">
        <v>542</v>
      </c>
      <c r="B543" t="s">
        <v>587</v>
      </c>
      <c r="C543">
        <v>2007</v>
      </c>
      <c r="D543" t="s">
        <v>45</v>
      </c>
      <c r="E543" t="s">
        <v>22</v>
      </c>
      <c r="F543">
        <v>185</v>
      </c>
      <c r="G543" s="2">
        <v>76</v>
      </c>
      <c r="H543" s="2">
        <v>69.599999999999994</v>
      </c>
      <c r="I543" s="2">
        <v>7</v>
      </c>
      <c r="J543" t="s">
        <v>34</v>
      </c>
      <c r="K543" s="2">
        <v>-6.4</v>
      </c>
      <c r="L543" s="3">
        <v>-8.4</v>
      </c>
    </row>
    <row r="544" spans="1:12" x14ac:dyDescent="0.3">
      <c r="A544">
        <v>543</v>
      </c>
      <c r="B544" t="s">
        <v>588</v>
      </c>
      <c r="C544">
        <v>1993</v>
      </c>
      <c r="D544" t="s">
        <v>53</v>
      </c>
      <c r="E544" t="s">
        <v>39</v>
      </c>
      <c r="F544">
        <v>124</v>
      </c>
      <c r="G544" s="2">
        <v>14.6</v>
      </c>
      <c r="H544" s="2">
        <v>17.100000000000001</v>
      </c>
      <c r="I544" s="2">
        <v>8.9</v>
      </c>
      <c r="J544" t="s">
        <v>91</v>
      </c>
      <c r="K544" s="2">
        <v>2.5</v>
      </c>
      <c r="L544" s="3">
        <v>17.100000000000001</v>
      </c>
    </row>
    <row r="545" spans="1:12" x14ac:dyDescent="0.3">
      <c r="A545">
        <v>544</v>
      </c>
      <c r="B545" t="s">
        <v>589</v>
      </c>
      <c r="C545">
        <v>2017</v>
      </c>
      <c r="D545" t="s">
        <v>17</v>
      </c>
      <c r="E545" t="s">
        <v>18</v>
      </c>
      <c r="F545">
        <v>121</v>
      </c>
      <c r="G545" s="2">
        <v>13.4</v>
      </c>
      <c r="H545" s="2">
        <v>42.4</v>
      </c>
      <c r="I545" s="2">
        <v>7.9</v>
      </c>
      <c r="J545" t="s">
        <v>19</v>
      </c>
      <c r="K545" s="2">
        <v>29</v>
      </c>
      <c r="L545" s="3">
        <v>216.4</v>
      </c>
    </row>
    <row r="546" spans="1:12" x14ac:dyDescent="0.3">
      <c r="A546">
        <v>545</v>
      </c>
      <c r="B546" t="s">
        <v>590</v>
      </c>
      <c r="C546">
        <v>1992</v>
      </c>
      <c r="D546" t="s">
        <v>27</v>
      </c>
      <c r="E546" t="s">
        <v>18</v>
      </c>
      <c r="F546">
        <v>136</v>
      </c>
      <c r="G546" s="2">
        <v>32.1</v>
      </c>
      <c r="H546" s="2">
        <v>54.2</v>
      </c>
      <c r="I546" s="2">
        <v>6.6</v>
      </c>
      <c r="J546" t="s">
        <v>68</v>
      </c>
      <c r="K546" s="2">
        <v>22.1</v>
      </c>
      <c r="L546" s="3">
        <v>68.8</v>
      </c>
    </row>
    <row r="547" spans="1:12" x14ac:dyDescent="0.3">
      <c r="A547">
        <v>546</v>
      </c>
      <c r="B547" t="s">
        <v>591</v>
      </c>
      <c r="C547">
        <v>1990</v>
      </c>
      <c r="D547" t="s">
        <v>25</v>
      </c>
      <c r="E547" t="s">
        <v>22</v>
      </c>
      <c r="F547">
        <v>126</v>
      </c>
      <c r="G547" s="2">
        <v>30</v>
      </c>
      <c r="H547" s="2">
        <v>98.8</v>
      </c>
      <c r="I547" s="2">
        <v>9.3000000000000007</v>
      </c>
      <c r="J547" t="s">
        <v>79</v>
      </c>
      <c r="K547" s="2">
        <v>68.8</v>
      </c>
      <c r="L547" s="3">
        <v>229.3</v>
      </c>
    </row>
    <row r="548" spans="1:12" x14ac:dyDescent="0.3">
      <c r="A548">
        <v>547</v>
      </c>
      <c r="B548" t="s">
        <v>592</v>
      </c>
      <c r="C548">
        <v>2009</v>
      </c>
      <c r="D548" t="s">
        <v>13</v>
      </c>
      <c r="E548" t="s">
        <v>18</v>
      </c>
      <c r="F548">
        <v>114</v>
      </c>
      <c r="G548" s="2">
        <v>79.7</v>
      </c>
      <c r="H548" s="2">
        <v>33.1</v>
      </c>
      <c r="I548" s="2">
        <v>6.3</v>
      </c>
      <c r="J548" t="s">
        <v>75</v>
      </c>
      <c r="K548" s="2">
        <v>-46.6</v>
      </c>
      <c r="L548" s="3">
        <v>-58.5</v>
      </c>
    </row>
    <row r="549" spans="1:12" x14ac:dyDescent="0.3">
      <c r="A549">
        <v>548</v>
      </c>
      <c r="B549" t="s">
        <v>593</v>
      </c>
      <c r="C549">
        <v>1993</v>
      </c>
      <c r="D549" t="s">
        <v>45</v>
      </c>
      <c r="E549" t="s">
        <v>18</v>
      </c>
      <c r="F549">
        <v>118</v>
      </c>
      <c r="G549" s="2">
        <v>12.6</v>
      </c>
      <c r="H549" s="2">
        <v>31.3</v>
      </c>
      <c r="I549" s="2">
        <v>8</v>
      </c>
      <c r="J549" t="s">
        <v>19</v>
      </c>
      <c r="K549" s="2">
        <v>18.7</v>
      </c>
      <c r="L549" s="3">
        <v>148.4</v>
      </c>
    </row>
    <row r="550" spans="1:12" x14ac:dyDescent="0.3">
      <c r="A550">
        <v>549</v>
      </c>
      <c r="B550" t="s">
        <v>594</v>
      </c>
      <c r="C550">
        <v>2013</v>
      </c>
      <c r="D550" t="s">
        <v>45</v>
      </c>
      <c r="E550" t="s">
        <v>18</v>
      </c>
      <c r="F550">
        <v>90</v>
      </c>
      <c r="G550" s="2">
        <v>4.9000000000000004</v>
      </c>
      <c r="H550" s="2">
        <v>7.4</v>
      </c>
      <c r="I550" s="2">
        <v>7.5</v>
      </c>
      <c r="J550" t="s">
        <v>68</v>
      </c>
      <c r="K550" s="2">
        <v>2.5</v>
      </c>
      <c r="L550" s="3">
        <v>51</v>
      </c>
    </row>
    <row r="551" spans="1:12" x14ac:dyDescent="0.3">
      <c r="A551">
        <v>550</v>
      </c>
      <c r="B551" t="s">
        <v>595</v>
      </c>
      <c r="C551">
        <v>2009</v>
      </c>
      <c r="D551" t="s">
        <v>45</v>
      </c>
      <c r="E551" t="s">
        <v>14</v>
      </c>
      <c r="F551">
        <v>109</v>
      </c>
      <c r="G551" s="2">
        <v>53.8</v>
      </c>
      <c r="H551" s="2">
        <v>91.6</v>
      </c>
      <c r="I551" s="2">
        <v>8.1</v>
      </c>
      <c r="J551" t="s">
        <v>15</v>
      </c>
      <c r="K551" s="2">
        <v>37.799999999999997</v>
      </c>
      <c r="L551" s="3">
        <v>70.3</v>
      </c>
    </row>
    <row r="552" spans="1:12" x14ac:dyDescent="0.3">
      <c r="A552">
        <v>551</v>
      </c>
      <c r="B552" t="s">
        <v>596</v>
      </c>
      <c r="C552">
        <v>1995</v>
      </c>
      <c r="D552" t="s">
        <v>27</v>
      </c>
      <c r="E552" t="s">
        <v>22</v>
      </c>
      <c r="F552">
        <v>150</v>
      </c>
      <c r="G552" s="2">
        <v>43</v>
      </c>
      <c r="H552" s="2">
        <v>155.69999999999999</v>
      </c>
      <c r="I552" s="2">
        <v>6.6</v>
      </c>
      <c r="J552" t="s">
        <v>34</v>
      </c>
      <c r="K552" s="2">
        <v>112.7</v>
      </c>
      <c r="L552" s="3">
        <v>262.10000000000002</v>
      </c>
    </row>
    <row r="553" spans="1:12" x14ac:dyDescent="0.3">
      <c r="A553">
        <v>552</v>
      </c>
      <c r="B553" t="s">
        <v>597</v>
      </c>
      <c r="C553">
        <v>2008</v>
      </c>
      <c r="D553" t="s">
        <v>65</v>
      </c>
      <c r="E553" t="s">
        <v>18</v>
      </c>
      <c r="F553">
        <v>75</v>
      </c>
      <c r="G553" s="2">
        <v>5</v>
      </c>
      <c r="H553" s="2">
        <v>11.5</v>
      </c>
      <c r="I553" s="2">
        <v>7.9</v>
      </c>
      <c r="J553" t="s">
        <v>59</v>
      </c>
      <c r="K553" s="2">
        <v>6.5</v>
      </c>
      <c r="L553" s="3">
        <v>130</v>
      </c>
    </row>
    <row r="554" spans="1:12" x14ac:dyDescent="0.3">
      <c r="A554">
        <v>553</v>
      </c>
      <c r="B554" t="s">
        <v>598</v>
      </c>
      <c r="C554">
        <v>1994</v>
      </c>
      <c r="D554" t="s">
        <v>45</v>
      </c>
      <c r="E554" t="s">
        <v>22</v>
      </c>
      <c r="F554">
        <v>110</v>
      </c>
      <c r="G554" s="2">
        <v>41.1</v>
      </c>
      <c r="H554" s="2">
        <v>25.4</v>
      </c>
      <c r="I554" s="2">
        <v>7.7</v>
      </c>
      <c r="J554" t="s">
        <v>23</v>
      </c>
      <c r="K554" s="2">
        <v>-15.7</v>
      </c>
      <c r="L554" s="3">
        <v>-38.200000000000003</v>
      </c>
    </row>
    <row r="555" spans="1:12" x14ac:dyDescent="0.3">
      <c r="A555">
        <v>554</v>
      </c>
      <c r="B555" t="s">
        <v>599</v>
      </c>
      <c r="C555">
        <v>1997</v>
      </c>
      <c r="D555" t="s">
        <v>53</v>
      </c>
      <c r="E555" t="s">
        <v>18</v>
      </c>
      <c r="F555">
        <v>78</v>
      </c>
      <c r="G555" s="2">
        <v>12.5</v>
      </c>
      <c r="H555" s="2">
        <v>12.3</v>
      </c>
      <c r="I555" s="2">
        <v>7.8</v>
      </c>
      <c r="J555" t="s">
        <v>75</v>
      </c>
      <c r="K555" s="2">
        <v>-0.2</v>
      </c>
      <c r="L555" s="3">
        <v>-1.6</v>
      </c>
    </row>
    <row r="556" spans="1:12" x14ac:dyDescent="0.3">
      <c r="A556">
        <v>555</v>
      </c>
      <c r="B556" t="s">
        <v>600</v>
      </c>
      <c r="C556">
        <v>1999</v>
      </c>
      <c r="D556" t="s">
        <v>45</v>
      </c>
      <c r="E556" t="s">
        <v>22</v>
      </c>
      <c r="F556">
        <v>107</v>
      </c>
      <c r="G556" s="2">
        <v>63.7</v>
      </c>
      <c r="H556" s="2">
        <v>73.7</v>
      </c>
      <c r="I556" s="2">
        <v>8</v>
      </c>
      <c r="J556" t="s">
        <v>23</v>
      </c>
      <c r="K556" s="2">
        <v>10</v>
      </c>
      <c r="L556" s="3">
        <v>15.7</v>
      </c>
    </row>
    <row r="557" spans="1:12" x14ac:dyDescent="0.3">
      <c r="A557">
        <v>556</v>
      </c>
      <c r="B557" t="s">
        <v>601</v>
      </c>
      <c r="C557">
        <v>1993</v>
      </c>
      <c r="D557" t="s">
        <v>17</v>
      </c>
      <c r="E557" t="s">
        <v>22</v>
      </c>
      <c r="F557">
        <v>150</v>
      </c>
      <c r="G557" s="2">
        <v>34.799999999999997</v>
      </c>
      <c r="H557" s="2">
        <v>72.2</v>
      </c>
      <c r="I557" s="2">
        <v>7.6</v>
      </c>
      <c r="J557" t="s">
        <v>57</v>
      </c>
      <c r="K557" s="2">
        <v>37.4</v>
      </c>
      <c r="L557" s="3">
        <v>107.5</v>
      </c>
    </row>
    <row r="558" spans="1:12" x14ac:dyDescent="0.3">
      <c r="A558">
        <v>557</v>
      </c>
      <c r="B558" t="s">
        <v>602</v>
      </c>
      <c r="C558">
        <v>2000</v>
      </c>
      <c r="D558" t="s">
        <v>17</v>
      </c>
      <c r="E558" t="s">
        <v>18</v>
      </c>
      <c r="F558">
        <v>131</v>
      </c>
      <c r="G558" s="2">
        <v>2.5</v>
      </c>
      <c r="H558" s="2">
        <v>2.7</v>
      </c>
      <c r="I558" s="2">
        <v>6.6</v>
      </c>
      <c r="J558" t="s">
        <v>75</v>
      </c>
      <c r="K558" s="2">
        <v>0.2</v>
      </c>
      <c r="L558" s="3">
        <v>8</v>
      </c>
    </row>
    <row r="559" spans="1:12" x14ac:dyDescent="0.3">
      <c r="A559">
        <v>558</v>
      </c>
      <c r="B559" t="s">
        <v>603</v>
      </c>
      <c r="C559">
        <v>2018</v>
      </c>
      <c r="D559" t="s">
        <v>65</v>
      </c>
      <c r="E559" t="s">
        <v>22</v>
      </c>
      <c r="F559">
        <v>137</v>
      </c>
      <c r="G559" s="2">
        <v>114.4</v>
      </c>
      <c r="H559" s="2">
        <v>100.8</v>
      </c>
      <c r="I559" s="2">
        <v>7.7</v>
      </c>
      <c r="J559" t="s">
        <v>51</v>
      </c>
      <c r="K559" s="2">
        <v>-13.6</v>
      </c>
      <c r="L559" s="3">
        <v>-11.9</v>
      </c>
    </row>
    <row r="560" spans="1:12" x14ac:dyDescent="0.3">
      <c r="A560">
        <v>559</v>
      </c>
      <c r="B560" t="s">
        <v>604</v>
      </c>
      <c r="C560">
        <v>2019</v>
      </c>
      <c r="D560" t="s">
        <v>53</v>
      </c>
      <c r="E560" t="s">
        <v>18</v>
      </c>
      <c r="F560">
        <v>144</v>
      </c>
      <c r="G560" s="2">
        <v>17.600000000000001</v>
      </c>
      <c r="H560" s="2">
        <v>43.9</v>
      </c>
      <c r="I560" s="2">
        <v>7.9</v>
      </c>
      <c r="J560" t="s">
        <v>19</v>
      </c>
      <c r="K560" s="2">
        <v>26.3</v>
      </c>
      <c r="L560" s="3">
        <v>149.4</v>
      </c>
    </row>
    <row r="561" spans="1:12" x14ac:dyDescent="0.3">
      <c r="A561">
        <v>560</v>
      </c>
      <c r="B561" t="s">
        <v>605</v>
      </c>
      <c r="C561">
        <v>1995</v>
      </c>
      <c r="D561" t="s">
        <v>17</v>
      </c>
      <c r="E561" t="s">
        <v>18</v>
      </c>
      <c r="F561">
        <v>113</v>
      </c>
      <c r="G561" s="2">
        <v>4.9000000000000004</v>
      </c>
      <c r="H561" s="2">
        <v>4.9000000000000004</v>
      </c>
      <c r="I561" s="2">
        <v>8.1999999999999993</v>
      </c>
      <c r="J561" t="s">
        <v>75</v>
      </c>
      <c r="K561" s="2">
        <v>0</v>
      </c>
      <c r="L561" s="3">
        <v>0</v>
      </c>
    </row>
    <row r="562" spans="1:12" x14ac:dyDescent="0.3">
      <c r="A562">
        <v>561</v>
      </c>
      <c r="B562" t="s">
        <v>606</v>
      </c>
      <c r="C562">
        <v>2013</v>
      </c>
      <c r="D562" t="s">
        <v>27</v>
      </c>
      <c r="E562" t="s">
        <v>127</v>
      </c>
      <c r="F562">
        <v>125</v>
      </c>
      <c r="G562" s="2">
        <v>22.7</v>
      </c>
      <c r="H562" s="2">
        <v>102.9</v>
      </c>
      <c r="I562" s="2">
        <v>7.2</v>
      </c>
      <c r="J562" t="s">
        <v>79</v>
      </c>
      <c r="K562" s="2">
        <v>80.2</v>
      </c>
      <c r="L562" s="3">
        <v>353.3</v>
      </c>
    </row>
    <row r="563" spans="1:12" x14ac:dyDescent="0.3">
      <c r="A563">
        <v>562</v>
      </c>
      <c r="B563" t="s">
        <v>607</v>
      </c>
      <c r="C563">
        <v>2000</v>
      </c>
      <c r="D563" t="s">
        <v>36</v>
      </c>
      <c r="E563" t="s">
        <v>22</v>
      </c>
      <c r="F563">
        <v>108</v>
      </c>
      <c r="G563" s="2">
        <v>61.3</v>
      </c>
      <c r="H563" s="2">
        <v>218.5</v>
      </c>
      <c r="I563" s="2">
        <v>6.6</v>
      </c>
      <c r="J563" t="s">
        <v>28</v>
      </c>
      <c r="K563" s="2">
        <v>157.19999999999999</v>
      </c>
      <c r="L563" s="3">
        <v>256.39999999999998</v>
      </c>
    </row>
    <row r="564" spans="1:12" x14ac:dyDescent="0.3">
      <c r="A564">
        <v>563</v>
      </c>
      <c r="B564" t="s">
        <v>608</v>
      </c>
      <c r="C564">
        <v>2007</v>
      </c>
      <c r="D564" t="s">
        <v>25</v>
      </c>
      <c r="E564" t="s">
        <v>22</v>
      </c>
      <c r="F564">
        <v>179</v>
      </c>
      <c r="G564" s="2">
        <v>22.3</v>
      </c>
      <c r="H564" s="2">
        <v>68.5</v>
      </c>
      <c r="I564" s="2">
        <v>6</v>
      </c>
      <c r="J564" t="s">
        <v>31</v>
      </c>
      <c r="K564" s="2">
        <v>46.2</v>
      </c>
      <c r="L564" s="3">
        <v>207.2</v>
      </c>
    </row>
    <row r="565" spans="1:12" x14ac:dyDescent="0.3">
      <c r="A565">
        <v>564</v>
      </c>
      <c r="B565" t="s">
        <v>609</v>
      </c>
      <c r="C565">
        <v>2019</v>
      </c>
      <c r="D565" t="s">
        <v>65</v>
      </c>
      <c r="E565" t="s">
        <v>22</v>
      </c>
      <c r="F565">
        <v>96</v>
      </c>
      <c r="G565" s="2">
        <v>110.5</v>
      </c>
      <c r="H565" s="2">
        <v>148.80000000000001</v>
      </c>
      <c r="I565" s="2">
        <v>9.5</v>
      </c>
      <c r="J565" t="s">
        <v>31</v>
      </c>
      <c r="K565" s="2">
        <v>38.299999999999997</v>
      </c>
      <c r="L565" s="3">
        <v>34.700000000000003</v>
      </c>
    </row>
    <row r="566" spans="1:12" x14ac:dyDescent="0.3">
      <c r="A566">
        <v>565</v>
      </c>
      <c r="B566" t="s">
        <v>610</v>
      </c>
      <c r="C566">
        <v>2014</v>
      </c>
      <c r="D566" t="s">
        <v>65</v>
      </c>
      <c r="E566" t="s">
        <v>18</v>
      </c>
      <c r="F566">
        <v>108</v>
      </c>
      <c r="G566" s="2">
        <v>6.5</v>
      </c>
      <c r="H566" s="2">
        <v>4.8</v>
      </c>
      <c r="I566" s="2">
        <v>6.9</v>
      </c>
      <c r="J566" t="s">
        <v>59</v>
      </c>
      <c r="K566" s="2">
        <v>-1.7</v>
      </c>
      <c r="L566" s="3">
        <v>-26.2</v>
      </c>
    </row>
    <row r="567" spans="1:12" x14ac:dyDescent="0.3">
      <c r="A567">
        <v>566</v>
      </c>
      <c r="B567" t="s">
        <v>611</v>
      </c>
      <c r="C567">
        <v>1997</v>
      </c>
      <c r="D567" t="s">
        <v>13</v>
      </c>
      <c r="E567" t="s">
        <v>22</v>
      </c>
      <c r="F567">
        <v>103</v>
      </c>
      <c r="G567" s="2">
        <v>19.3</v>
      </c>
      <c r="H567" s="2">
        <v>34.299999999999997</v>
      </c>
      <c r="I567" s="2">
        <v>7.4</v>
      </c>
      <c r="J567" t="s">
        <v>79</v>
      </c>
      <c r="K567" s="2">
        <v>15</v>
      </c>
      <c r="L567" s="3">
        <v>77.7</v>
      </c>
    </row>
    <row r="568" spans="1:12" x14ac:dyDescent="0.3">
      <c r="A568">
        <v>567</v>
      </c>
      <c r="B568" t="s">
        <v>612</v>
      </c>
      <c r="C568">
        <v>2015</v>
      </c>
      <c r="D568" t="s">
        <v>17</v>
      </c>
      <c r="E568" t="s">
        <v>22</v>
      </c>
      <c r="F568">
        <v>159</v>
      </c>
      <c r="G568" s="2">
        <v>19.100000000000001</v>
      </c>
      <c r="H568" s="2">
        <v>16.100000000000001</v>
      </c>
      <c r="I568" s="2">
        <v>7.5</v>
      </c>
      <c r="J568" t="s">
        <v>34</v>
      </c>
      <c r="K568" s="2">
        <v>-3</v>
      </c>
      <c r="L568" s="3">
        <v>-15.7</v>
      </c>
    </row>
    <row r="569" spans="1:12" x14ac:dyDescent="0.3">
      <c r="A569">
        <v>568</v>
      </c>
      <c r="B569" t="s">
        <v>613</v>
      </c>
      <c r="C569">
        <v>2013</v>
      </c>
      <c r="D569" t="s">
        <v>65</v>
      </c>
      <c r="E569" t="s">
        <v>22</v>
      </c>
      <c r="F569">
        <v>129</v>
      </c>
      <c r="G569" s="2">
        <v>133.69999999999999</v>
      </c>
      <c r="H569" s="2">
        <v>333.4</v>
      </c>
      <c r="I569" s="2">
        <v>6.9</v>
      </c>
      <c r="J569" t="s">
        <v>91</v>
      </c>
      <c r="K569" s="2">
        <v>199.7</v>
      </c>
      <c r="L569" s="3">
        <v>149.4</v>
      </c>
    </row>
    <row r="570" spans="1:12" x14ac:dyDescent="0.3">
      <c r="A570">
        <v>569</v>
      </c>
      <c r="B570" t="s">
        <v>614</v>
      </c>
      <c r="C570">
        <v>1999</v>
      </c>
      <c r="D570" t="s">
        <v>45</v>
      </c>
      <c r="E570" t="s">
        <v>22</v>
      </c>
      <c r="F570">
        <v>122</v>
      </c>
      <c r="G570" s="2">
        <v>161.30000000000001</v>
      </c>
      <c r="H570" s="2">
        <v>510.1</v>
      </c>
      <c r="I570" s="2">
        <v>5.6</v>
      </c>
      <c r="J570" t="s">
        <v>34</v>
      </c>
      <c r="K570" s="2">
        <v>348.8</v>
      </c>
      <c r="L570" s="3">
        <v>216.2</v>
      </c>
    </row>
    <row r="571" spans="1:12" x14ac:dyDescent="0.3">
      <c r="A571">
        <v>570</v>
      </c>
      <c r="B571" t="s">
        <v>615</v>
      </c>
      <c r="C571">
        <v>2004</v>
      </c>
      <c r="D571" t="s">
        <v>13</v>
      </c>
      <c r="E571" t="s">
        <v>18</v>
      </c>
      <c r="F571">
        <v>105</v>
      </c>
      <c r="G571" s="2">
        <v>15.2</v>
      </c>
      <c r="H571" s="2">
        <v>49</v>
      </c>
      <c r="I571" s="2">
        <v>7.2</v>
      </c>
      <c r="J571" t="s">
        <v>59</v>
      </c>
      <c r="K571" s="2">
        <v>33.799999999999997</v>
      </c>
      <c r="L571" s="3">
        <v>222.4</v>
      </c>
    </row>
    <row r="572" spans="1:12" x14ac:dyDescent="0.3">
      <c r="A572">
        <v>571</v>
      </c>
      <c r="B572" t="s">
        <v>616</v>
      </c>
      <c r="C572">
        <v>2010</v>
      </c>
      <c r="D572" t="s">
        <v>27</v>
      </c>
      <c r="E572" t="s">
        <v>22</v>
      </c>
      <c r="F572">
        <v>115</v>
      </c>
      <c r="G572" s="2">
        <v>51.7</v>
      </c>
      <c r="H572" s="2">
        <v>79.099999999999994</v>
      </c>
      <c r="I572" s="2">
        <v>6.7</v>
      </c>
      <c r="J572" t="s">
        <v>37</v>
      </c>
      <c r="K572" s="2">
        <v>27.4</v>
      </c>
      <c r="L572" s="3">
        <v>53</v>
      </c>
    </row>
    <row r="573" spans="1:12" x14ac:dyDescent="0.3">
      <c r="A573">
        <v>572</v>
      </c>
      <c r="B573" t="s">
        <v>617</v>
      </c>
      <c r="C573">
        <v>2005</v>
      </c>
      <c r="D573" t="s">
        <v>36</v>
      </c>
      <c r="E573" t="s">
        <v>22</v>
      </c>
      <c r="F573">
        <v>161</v>
      </c>
      <c r="G573" s="2">
        <v>69</v>
      </c>
      <c r="H573" s="2">
        <v>53.1</v>
      </c>
      <c r="I573" s="2">
        <v>7.2</v>
      </c>
      <c r="J573" t="s">
        <v>79</v>
      </c>
      <c r="K573" s="2">
        <v>-15.9</v>
      </c>
      <c r="L573" s="3">
        <v>-23</v>
      </c>
    </row>
    <row r="574" spans="1:12" x14ac:dyDescent="0.3">
      <c r="A574">
        <v>573</v>
      </c>
      <c r="B574" t="s">
        <v>618</v>
      </c>
      <c r="C574">
        <v>2001</v>
      </c>
      <c r="D574" t="s">
        <v>65</v>
      </c>
      <c r="E574" t="s">
        <v>39</v>
      </c>
      <c r="F574">
        <v>109</v>
      </c>
      <c r="G574" s="2">
        <v>7.4</v>
      </c>
      <c r="H574" s="2">
        <v>22.3</v>
      </c>
      <c r="I574" s="2">
        <v>7</v>
      </c>
      <c r="J574" t="s">
        <v>40</v>
      </c>
      <c r="K574" s="2">
        <v>14.9</v>
      </c>
      <c r="L574" s="3">
        <v>201.4</v>
      </c>
    </row>
    <row r="575" spans="1:12" x14ac:dyDescent="0.3">
      <c r="A575">
        <v>574</v>
      </c>
      <c r="B575" t="s">
        <v>619</v>
      </c>
      <c r="C575">
        <v>2022</v>
      </c>
      <c r="D575" t="s">
        <v>13</v>
      </c>
      <c r="E575" t="s">
        <v>39</v>
      </c>
      <c r="F575">
        <v>102</v>
      </c>
      <c r="G575" s="2">
        <v>34</v>
      </c>
      <c r="H575" s="2">
        <v>47.2</v>
      </c>
      <c r="I575" s="2">
        <v>5.6</v>
      </c>
      <c r="J575" t="s">
        <v>79</v>
      </c>
      <c r="K575" s="2">
        <v>13.2</v>
      </c>
      <c r="L575" s="3">
        <v>38.799999999999997</v>
      </c>
    </row>
    <row r="576" spans="1:12" x14ac:dyDescent="0.3">
      <c r="A576">
        <v>575</v>
      </c>
      <c r="B576" t="s">
        <v>620</v>
      </c>
      <c r="C576">
        <v>1999</v>
      </c>
      <c r="D576" t="s">
        <v>65</v>
      </c>
      <c r="E576" t="s">
        <v>127</v>
      </c>
      <c r="F576">
        <v>88</v>
      </c>
      <c r="G576" s="2">
        <v>43.9</v>
      </c>
      <c r="H576" s="2">
        <v>106.7</v>
      </c>
      <c r="I576" s="2">
        <v>8</v>
      </c>
      <c r="J576" t="s">
        <v>91</v>
      </c>
      <c r="K576" s="2">
        <v>62.8</v>
      </c>
      <c r="L576" s="3">
        <v>143.1</v>
      </c>
    </row>
    <row r="577" spans="1:12" x14ac:dyDescent="0.3">
      <c r="A577">
        <v>576</v>
      </c>
      <c r="B577" t="s">
        <v>621</v>
      </c>
      <c r="C577">
        <v>2024</v>
      </c>
      <c r="D577" t="s">
        <v>17</v>
      </c>
      <c r="E577" t="s">
        <v>18</v>
      </c>
      <c r="F577">
        <v>134</v>
      </c>
      <c r="G577" s="2">
        <v>5.2</v>
      </c>
      <c r="H577" s="2">
        <v>6.4</v>
      </c>
      <c r="I577" s="2">
        <v>7.1</v>
      </c>
      <c r="J577" t="s">
        <v>68</v>
      </c>
      <c r="K577" s="2">
        <v>1.2</v>
      </c>
      <c r="L577" s="3">
        <v>23.1</v>
      </c>
    </row>
    <row r="578" spans="1:12" x14ac:dyDescent="0.3">
      <c r="A578">
        <v>577</v>
      </c>
      <c r="B578" t="s">
        <v>622</v>
      </c>
      <c r="C578">
        <v>2017</v>
      </c>
      <c r="D578" t="s">
        <v>13</v>
      </c>
      <c r="E578" t="s">
        <v>22</v>
      </c>
      <c r="F578">
        <v>102</v>
      </c>
      <c r="G578" s="2">
        <v>22.3</v>
      </c>
      <c r="H578" s="2">
        <v>67.3</v>
      </c>
      <c r="I578" s="2">
        <v>7.3</v>
      </c>
      <c r="J578" t="s">
        <v>40</v>
      </c>
      <c r="K578" s="2">
        <v>45</v>
      </c>
      <c r="L578" s="3">
        <v>201.8</v>
      </c>
    </row>
    <row r="579" spans="1:12" x14ac:dyDescent="0.3">
      <c r="A579">
        <v>578</v>
      </c>
      <c r="B579" t="s">
        <v>623</v>
      </c>
      <c r="C579">
        <v>2015</v>
      </c>
      <c r="D579" t="s">
        <v>17</v>
      </c>
      <c r="E579" t="s">
        <v>18</v>
      </c>
      <c r="F579">
        <v>151</v>
      </c>
      <c r="G579" s="2">
        <v>19.3</v>
      </c>
      <c r="H579" s="2">
        <v>24.9</v>
      </c>
      <c r="I579" s="2">
        <v>5.6</v>
      </c>
      <c r="J579" t="s">
        <v>19</v>
      </c>
      <c r="K579" s="2">
        <v>5.6</v>
      </c>
      <c r="L579" s="3">
        <v>29</v>
      </c>
    </row>
    <row r="580" spans="1:12" x14ac:dyDescent="0.3">
      <c r="A580">
        <v>579</v>
      </c>
      <c r="B580" t="s">
        <v>624</v>
      </c>
      <c r="C580">
        <v>2013</v>
      </c>
      <c r="D580" t="s">
        <v>25</v>
      </c>
      <c r="E580" t="s">
        <v>18</v>
      </c>
      <c r="F580">
        <v>153</v>
      </c>
      <c r="G580" s="2">
        <v>12.4</v>
      </c>
      <c r="H580" s="2">
        <v>24.1</v>
      </c>
      <c r="I580" s="2">
        <v>7.6</v>
      </c>
      <c r="J580" t="s">
        <v>59</v>
      </c>
      <c r="K580" s="2">
        <v>11.7</v>
      </c>
      <c r="L580" s="3">
        <v>94.4</v>
      </c>
    </row>
    <row r="581" spans="1:12" x14ac:dyDescent="0.3">
      <c r="A581">
        <v>580</v>
      </c>
      <c r="B581" t="s">
        <v>625</v>
      </c>
      <c r="C581">
        <v>2002</v>
      </c>
      <c r="D581" t="s">
        <v>47</v>
      </c>
      <c r="E581" t="s">
        <v>22</v>
      </c>
      <c r="F581">
        <v>75</v>
      </c>
      <c r="G581" s="2">
        <v>55</v>
      </c>
      <c r="H581" s="2">
        <v>268.3</v>
      </c>
      <c r="I581" s="2">
        <v>5.4</v>
      </c>
      <c r="J581" t="s">
        <v>51</v>
      </c>
      <c r="K581" s="2">
        <v>213.3</v>
      </c>
      <c r="L581" s="3">
        <v>387.8</v>
      </c>
    </row>
    <row r="582" spans="1:12" x14ac:dyDescent="0.3">
      <c r="A582">
        <v>581</v>
      </c>
      <c r="B582" t="s">
        <v>626</v>
      </c>
      <c r="C582">
        <v>2011</v>
      </c>
      <c r="D582" t="s">
        <v>47</v>
      </c>
      <c r="E582" t="s">
        <v>18</v>
      </c>
      <c r="F582">
        <v>75</v>
      </c>
      <c r="G582" s="2">
        <v>32.299999999999997</v>
      </c>
      <c r="H582" s="2">
        <v>135.30000000000001</v>
      </c>
      <c r="I582" s="2">
        <v>7.6</v>
      </c>
      <c r="J582" t="s">
        <v>68</v>
      </c>
      <c r="K582" s="2">
        <v>103</v>
      </c>
      <c r="L582" s="3">
        <v>318.89999999999998</v>
      </c>
    </row>
    <row r="583" spans="1:12" x14ac:dyDescent="0.3">
      <c r="A583">
        <v>582</v>
      </c>
      <c r="B583" t="s">
        <v>627</v>
      </c>
      <c r="C583">
        <v>2009</v>
      </c>
      <c r="D583" t="s">
        <v>25</v>
      </c>
      <c r="E583" t="s">
        <v>18</v>
      </c>
      <c r="F583">
        <v>113</v>
      </c>
      <c r="G583" s="2">
        <v>28.3</v>
      </c>
      <c r="H583" s="2">
        <v>39.299999999999997</v>
      </c>
      <c r="I583" s="2">
        <v>7</v>
      </c>
      <c r="J583" t="s">
        <v>19</v>
      </c>
      <c r="K583" s="2">
        <v>11</v>
      </c>
      <c r="L583" s="3">
        <v>38.9</v>
      </c>
    </row>
    <row r="584" spans="1:12" x14ac:dyDescent="0.3">
      <c r="A584">
        <v>583</v>
      </c>
      <c r="B584" t="s">
        <v>628</v>
      </c>
      <c r="C584">
        <v>2007</v>
      </c>
      <c r="D584" t="s">
        <v>13</v>
      </c>
      <c r="E584" t="s">
        <v>22</v>
      </c>
      <c r="F584">
        <v>121</v>
      </c>
      <c r="G584" s="2">
        <v>201.5</v>
      </c>
      <c r="H584" s="2">
        <v>268.10000000000002</v>
      </c>
      <c r="I584" s="2">
        <v>6.7</v>
      </c>
      <c r="J584" t="s">
        <v>31</v>
      </c>
      <c r="K584" s="2">
        <v>66.599999999999994</v>
      </c>
      <c r="L584" s="3">
        <v>33.1</v>
      </c>
    </row>
    <row r="585" spans="1:12" x14ac:dyDescent="0.3">
      <c r="A585">
        <v>584</v>
      </c>
      <c r="B585" t="s">
        <v>629</v>
      </c>
      <c r="C585">
        <v>2023</v>
      </c>
      <c r="D585" t="s">
        <v>47</v>
      </c>
      <c r="E585" t="s">
        <v>22</v>
      </c>
      <c r="F585">
        <v>100</v>
      </c>
      <c r="G585" s="2">
        <v>24</v>
      </c>
      <c r="H585" s="2">
        <v>135.9</v>
      </c>
      <c r="I585" s="2">
        <v>7</v>
      </c>
      <c r="J585" t="s">
        <v>51</v>
      </c>
      <c r="K585" s="2">
        <v>111.9</v>
      </c>
      <c r="L585" s="3">
        <v>466.3</v>
      </c>
    </row>
    <row r="586" spans="1:12" x14ac:dyDescent="0.3">
      <c r="A586">
        <v>585</v>
      </c>
      <c r="B586" t="s">
        <v>630</v>
      </c>
      <c r="C586">
        <v>1999</v>
      </c>
      <c r="D586" t="s">
        <v>13</v>
      </c>
      <c r="E586" t="s">
        <v>22</v>
      </c>
      <c r="F586">
        <v>98</v>
      </c>
      <c r="G586" s="2">
        <v>68.099999999999994</v>
      </c>
      <c r="H586" s="2">
        <v>284</v>
      </c>
      <c r="I586" s="2">
        <v>8.3000000000000007</v>
      </c>
      <c r="J586" t="s">
        <v>23</v>
      </c>
      <c r="K586" s="2">
        <v>215.9</v>
      </c>
      <c r="L586" s="3">
        <v>317</v>
      </c>
    </row>
    <row r="587" spans="1:12" x14ac:dyDescent="0.3">
      <c r="A587">
        <v>586</v>
      </c>
      <c r="B587" t="s">
        <v>631</v>
      </c>
      <c r="C587">
        <v>1998</v>
      </c>
      <c r="D587" t="s">
        <v>25</v>
      </c>
      <c r="E587" t="s">
        <v>22</v>
      </c>
      <c r="F587">
        <v>141</v>
      </c>
      <c r="G587" s="2">
        <v>24.4</v>
      </c>
      <c r="H587" s="2">
        <v>14</v>
      </c>
      <c r="I587" s="2">
        <v>8.8000000000000007</v>
      </c>
      <c r="J587" t="s">
        <v>31</v>
      </c>
      <c r="K587" s="2">
        <v>-10.4</v>
      </c>
      <c r="L587" s="3">
        <v>-42.6</v>
      </c>
    </row>
    <row r="588" spans="1:12" x14ac:dyDescent="0.3">
      <c r="A588">
        <v>587</v>
      </c>
      <c r="B588" t="s">
        <v>632</v>
      </c>
      <c r="C588">
        <v>2025</v>
      </c>
      <c r="D588" t="s">
        <v>17</v>
      </c>
      <c r="E588" t="s">
        <v>22</v>
      </c>
      <c r="F588">
        <v>121</v>
      </c>
      <c r="G588" s="2">
        <v>131.19999999999999</v>
      </c>
      <c r="H588" s="2">
        <v>406.8</v>
      </c>
      <c r="I588" s="2">
        <v>5</v>
      </c>
      <c r="J588" t="s">
        <v>28</v>
      </c>
      <c r="K588" s="2">
        <v>275.60000000000002</v>
      </c>
      <c r="L588" s="3">
        <v>210.1</v>
      </c>
    </row>
    <row r="589" spans="1:12" x14ac:dyDescent="0.3">
      <c r="A589">
        <v>588</v>
      </c>
      <c r="B589" t="s">
        <v>633</v>
      </c>
      <c r="C589">
        <v>1995</v>
      </c>
      <c r="D589" t="s">
        <v>53</v>
      </c>
      <c r="E589" t="s">
        <v>18</v>
      </c>
      <c r="F589">
        <v>112</v>
      </c>
      <c r="G589" s="2">
        <v>1.5</v>
      </c>
      <c r="H589" s="2">
        <v>1.6</v>
      </c>
      <c r="I589" s="2">
        <v>7.6</v>
      </c>
      <c r="J589" t="s">
        <v>68</v>
      </c>
      <c r="K589" s="2">
        <v>0.1</v>
      </c>
      <c r="L589" s="3">
        <v>6.7</v>
      </c>
    </row>
    <row r="590" spans="1:12" x14ac:dyDescent="0.3">
      <c r="A590">
        <v>589</v>
      </c>
      <c r="B590" t="s">
        <v>634</v>
      </c>
      <c r="C590">
        <v>2017</v>
      </c>
      <c r="D590" t="s">
        <v>13</v>
      </c>
      <c r="E590" t="s">
        <v>22</v>
      </c>
      <c r="F590">
        <v>142</v>
      </c>
      <c r="G590" s="2">
        <v>222.5</v>
      </c>
      <c r="H590" s="2">
        <v>806.7</v>
      </c>
      <c r="I590" s="2">
        <v>6.2</v>
      </c>
      <c r="J590" t="s">
        <v>51</v>
      </c>
      <c r="K590" s="2">
        <v>584.20000000000005</v>
      </c>
      <c r="L590" s="3">
        <v>262.60000000000002</v>
      </c>
    </row>
    <row r="591" spans="1:12" x14ac:dyDescent="0.3">
      <c r="A591">
        <v>590</v>
      </c>
      <c r="B591" t="s">
        <v>635</v>
      </c>
      <c r="C591">
        <v>2014</v>
      </c>
      <c r="D591" t="s">
        <v>27</v>
      </c>
      <c r="E591" t="s">
        <v>22</v>
      </c>
      <c r="F591">
        <v>75</v>
      </c>
      <c r="G591" s="2">
        <v>61.1</v>
      </c>
      <c r="H591" s="2">
        <v>258.8</v>
      </c>
      <c r="I591" s="2">
        <v>8.1</v>
      </c>
      <c r="J591" t="s">
        <v>37</v>
      </c>
      <c r="K591" s="2">
        <v>197.7</v>
      </c>
      <c r="L591" s="3">
        <v>323.60000000000002</v>
      </c>
    </row>
    <row r="592" spans="1:12" x14ac:dyDescent="0.3">
      <c r="A592">
        <v>591</v>
      </c>
      <c r="B592" t="s">
        <v>636</v>
      </c>
      <c r="C592">
        <v>1995</v>
      </c>
      <c r="D592" t="s">
        <v>65</v>
      </c>
      <c r="E592" t="s">
        <v>66</v>
      </c>
      <c r="F592">
        <v>129</v>
      </c>
      <c r="G592" s="2">
        <v>90.1</v>
      </c>
      <c r="H592" s="2">
        <v>202.4</v>
      </c>
      <c r="I592" s="2">
        <v>7.6</v>
      </c>
      <c r="J592" t="s">
        <v>34</v>
      </c>
      <c r="K592" s="2">
        <v>112.3</v>
      </c>
      <c r="L592" s="3">
        <v>124.6</v>
      </c>
    </row>
    <row r="593" spans="1:12" x14ac:dyDescent="0.3">
      <c r="A593">
        <v>592</v>
      </c>
      <c r="B593" t="s">
        <v>637</v>
      </c>
      <c r="C593">
        <v>1998</v>
      </c>
      <c r="D593" t="s">
        <v>25</v>
      </c>
      <c r="E593" t="s">
        <v>22</v>
      </c>
      <c r="F593">
        <v>128</v>
      </c>
      <c r="G593" s="2">
        <v>35.9</v>
      </c>
      <c r="H593" s="2">
        <v>159</v>
      </c>
      <c r="I593" s="2">
        <v>7.7</v>
      </c>
      <c r="J593" t="s">
        <v>31</v>
      </c>
      <c r="K593" s="2">
        <v>123.1</v>
      </c>
      <c r="L593" s="3">
        <v>342.9</v>
      </c>
    </row>
    <row r="594" spans="1:12" x14ac:dyDescent="0.3">
      <c r="A594">
        <v>593</v>
      </c>
      <c r="B594" t="s">
        <v>638</v>
      </c>
      <c r="C594">
        <v>1996</v>
      </c>
      <c r="D594" t="s">
        <v>17</v>
      </c>
      <c r="E594" t="s">
        <v>22</v>
      </c>
      <c r="F594">
        <v>187</v>
      </c>
      <c r="G594" s="2">
        <v>63.1</v>
      </c>
      <c r="H594" s="2">
        <v>99.4</v>
      </c>
      <c r="I594" s="2">
        <v>8.8000000000000007</v>
      </c>
      <c r="J594" t="s">
        <v>31</v>
      </c>
      <c r="K594" s="2">
        <v>36.299999999999997</v>
      </c>
      <c r="L594" s="3">
        <v>57.5</v>
      </c>
    </row>
    <row r="595" spans="1:12" x14ac:dyDescent="0.3">
      <c r="A595">
        <v>594</v>
      </c>
      <c r="B595" t="s">
        <v>639</v>
      </c>
      <c r="C595">
        <v>2007</v>
      </c>
      <c r="D595" t="s">
        <v>25</v>
      </c>
      <c r="E595" t="s">
        <v>18</v>
      </c>
      <c r="F595">
        <v>135</v>
      </c>
      <c r="G595" s="2">
        <v>8.9</v>
      </c>
      <c r="H595" s="2">
        <v>13.6</v>
      </c>
      <c r="I595" s="2">
        <v>6.1</v>
      </c>
      <c r="J595" t="s">
        <v>59</v>
      </c>
      <c r="K595" s="2">
        <v>4.7</v>
      </c>
      <c r="L595" s="3">
        <v>52.8</v>
      </c>
    </row>
    <row r="596" spans="1:12" x14ac:dyDescent="0.3">
      <c r="A596">
        <v>595</v>
      </c>
      <c r="B596" t="s">
        <v>640</v>
      </c>
      <c r="C596">
        <v>1998</v>
      </c>
      <c r="D596" t="s">
        <v>36</v>
      </c>
      <c r="E596" t="s">
        <v>22</v>
      </c>
      <c r="F596">
        <v>78</v>
      </c>
      <c r="G596" s="2">
        <v>126.9</v>
      </c>
      <c r="H596" s="2">
        <v>436.4</v>
      </c>
      <c r="I596" s="2">
        <v>6.4</v>
      </c>
      <c r="J596" t="s">
        <v>23</v>
      </c>
      <c r="K596" s="2">
        <v>309.5</v>
      </c>
      <c r="L596" s="3">
        <v>243.9</v>
      </c>
    </row>
    <row r="597" spans="1:12" x14ac:dyDescent="0.3">
      <c r="A597">
        <v>596</v>
      </c>
      <c r="B597" t="s">
        <v>641</v>
      </c>
      <c r="C597">
        <v>1990</v>
      </c>
      <c r="D597" t="s">
        <v>13</v>
      </c>
      <c r="E597" t="s">
        <v>22</v>
      </c>
      <c r="F597">
        <v>106</v>
      </c>
      <c r="G597" s="2">
        <v>7.4</v>
      </c>
      <c r="H597" s="2">
        <v>31</v>
      </c>
      <c r="I597" s="2">
        <v>7.6</v>
      </c>
      <c r="J597" t="s">
        <v>37</v>
      </c>
      <c r="K597" s="2">
        <v>23.6</v>
      </c>
      <c r="L597" s="3">
        <v>318.89999999999998</v>
      </c>
    </row>
    <row r="598" spans="1:12" x14ac:dyDescent="0.3">
      <c r="A598">
        <v>597</v>
      </c>
      <c r="B598" t="s">
        <v>642</v>
      </c>
      <c r="C598">
        <v>2016</v>
      </c>
      <c r="D598" t="s">
        <v>45</v>
      </c>
      <c r="E598" t="s">
        <v>14</v>
      </c>
      <c r="F598">
        <v>130</v>
      </c>
      <c r="G598" s="2">
        <v>141.30000000000001</v>
      </c>
      <c r="H598" s="2">
        <v>474.5</v>
      </c>
      <c r="I598" s="2">
        <v>6.4</v>
      </c>
      <c r="J598" t="s">
        <v>15</v>
      </c>
      <c r="K598" s="2">
        <v>333.2</v>
      </c>
      <c r="L598" s="3">
        <v>235.8</v>
      </c>
    </row>
    <row r="599" spans="1:12" x14ac:dyDescent="0.3">
      <c r="A599">
        <v>598</v>
      </c>
      <c r="B599" t="s">
        <v>643</v>
      </c>
      <c r="C599">
        <v>1998</v>
      </c>
      <c r="D599" t="s">
        <v>47</v>
      </c>
      <c r="E599" t="s">
        <v>22</v>
      </c>
      <c r="F599">
        <v>119</v>
      </c>
      <c r="G599" s="2">
        <v>148.9</v>
      </c>
      <c r="H599" s="2">
        <v>514.70000000000005</v>
      </c>
      <c r="I599" s="2">
        <v>9.1</v>
      </c>
      <c r="J599" t="s">
        <v>31</v>
      </c>
      <c r="K599" s="2">
        <v>365.8</v>
      </c>
      <c r="L599" s="3">
        <v>245.7</v>
      </c>
    </row>
    <row r="600" spans="1:12" x14ac:dyDescent="0.3">
      <c r="A600">
        <v>599</v>
      </c>
      <c r="B600" t="s">
        <v>644</v>
      </c>
      <c r="C600">
        <v>2019</v>
      </c>
      <c r="D600" t="s">
        <v>53</v>
      </c>
      <c r="E600" t="s">
        <v>18</v>
      </c>
      <c r="F600">
        <v>116</v>
      </c>
      <c r="G600" s="2">
        <v>9.1999999999999993</v>
      </c>
      <c r="H600" s="2">
        <v>9.1999999999999993</v>
      </c>
      <c r="I600" s="2">
        <v>6.8</v>
      </c>
      <c r="J600" t="s">
        <v>68</v>
      </c>
      <c r="K600" s="2">
        <v>0</v>
      </c>
      <c r="L600" s="3">
        <v>0</v>
      </c>
    </row>
    <row r="601" spans="1:12" x14ac:dyDescent="0.3">
      <c r="A601">
        <v>600</v>
      </c>
      <c r="B601" t="s">
        <v>645</v>
      </c>
      <c r="C601">
        <v>1993</v>
      </c>
      <c r="D601" t="s">
        <v>47</v>
      </c>
      <c r="E601" t="s">
        <v>22</v>
      </c>
      <c r="F601">
        <v>114</v>
      </c>
      <c r="G601" s="2">
        <v>60.4</v>
      </c>
      <c r="H601" s="2">
        <v>140.5</v>
      </c>
      <c r="I601" s="2">
        <v>5.3</v>
      </c>
      <c r="J601" t="s">
        <v>31</v>
      </c>
      <c r="K601" s="2">
        <v>80.099999999999994</v>
      </c>
      <c r="L601" s="3">
        <v>132.6</v>
      </c>
    </row>
    <row r="602" spans="1:12" x14ac:dyDescent="0.3">
      <c r="A602">
        <v>601</v>
      </c>
      <c r="B602" t="s">
        <v>646</v>
      </c>
      <c r="C602">
        <v>2001</v>
      </c>
      <c r="D602" t="s">
        <v>17</v>
      </c>
      <c r="E602" t="s">
        <v>18</v>
      </c>
      <c r="F602">
        <v>153</v>
      </c>
      <c r="G602" s="2">
        <v>24.9</v>
      </c>
      <c r="H602" s="2">
        <v>64.5</v>
      </c>
      <c r="I602" s="2">
        <v>7.3</v>
      </c>
      <c r="J602" t="s">
        <v>68</v>
      </c>
      <c r="K602" s="2">
        <v>39.6</v>
      </c>
      <c r="L602" s="3">
        <v>159</v>
      </c>
    </row>
    <row r="603" spans="1:12" x14ac:dyDescent="0.3">
      <c r="A603">
        <v>602</v>
      </c>
      <c r="B603" t="s">
        <v>647</v>
      </c>
      <c r="C603">
        <v>1995</v>
      </c>
      <c r="D603" t="s">
        <v>27</v>
      </c>
      <c r="E603" t="s">
        <v>18</v>
      </c>
      <c r="F603">
        <v>109</v>
      </c>
      <c r="G603" s="2">
        <v>10.8</v>
      </c>
      <c r="H603" s="2">
        <v>13</v>
      </c>
      <c r="I603" s="2">
        <v>8.1999999999999993</v>
      </c>
      <c r="J603" t="s">
        <v>75</v>
      </c>
      <c r="K603" s="2">
        <v>2.2000000000000002</v>
      </c>
      <c r="L603" s="3">
        <v>20.399999999999999</v>
      </c>
    </row>
    <row r="604" spans="1:12" x14ac:dyDescent="0.3">
      <c r="A604">
        <v>603</v>
      </c>
      <c r="B604" t="s">
        <v>648</v>
      </c>
      <c r="C604">
        <v>2011</v>
      </c>
      <c r="D604" t="s">
        <v>45</v>
      </c>
      <c r="E604" t="s">
        <v>22</v>
      </c>
      <c r="F604">
        <v>145</v>
      </c>
      <c r="G604" s="2">
        <v>334.8</v>
      </c>
      <c r="H604" s="2">
        <v>321</v>
      </c>
      <c r="I604" s="2">
        <v>6.2</v>
      </c>
      <c r="J604" t="s">
        <v>57</v>
      </c>
      <c r="K604" s="2">
        <v>-13.8</v>
      </c>
      <c r="L604" s="3">
        <v>-4.0999999999999996</v>
      </c>
    </row>
    <row r="605" spans="1:12" x14ac:dyDescent="0.3">
      <c r="A605">
        <v>604</v>
      </c>
      <c r="B605" t="s">
        <v>649</v>
      </c>
      <c r="C605">
        <v>1995</v>
      </c>
      <c r="D605" t="s">
        <v>36</v>
      </c>
      <c r="E605" t="s">
        <v>18</v>
      </c>
      <c r="F605">
        <v>105</v>
      </c>
      <c r="G605" s="2">
        <v>4.5</v>
      </c>
      <c r="H605" s="2">
        <v>13.7</v>
      </c>
      <c r="I605" s="2">
        <v>5.7</v>
      </c>
      <c r="J605" t="s">
        <v>48</v>
      </c>
      <c r="K605" s="2">
        <v>9.1999999999999993</v>
      </c>
      <c r="L605" s="3">
        <v>204.4</v>
      </c>
    </row>
    <row r="606" spans="1:12" x14ac:dyDescent="0.3">
      <c r="A606">
        <v>605</v>
      </c>
      <c r="B606" t="s">
        <v>650</v>
      </c>
      <c r="C606">
        <v>2024</v>
      </c>
      <c r="D606" t="s">
        <v>36</v>
      </c>
      <c r="E606" t="s">
        <v>22</v>
      </c>
      <c r="F606">
        <v>102</v>
      </c>
      <c r="G606" s="2">
        <v>180.2</v>
      </c>
      <c r="H606" s="2">
        <v>259.2</v>
      </c>
      <c r="I606" s="2">
        <v>6.3</v>
      </c>
      <c r="J606" t="s">
        <v>28</v>
      </c>
      <c r="K606" s="2">
        <v>79</v>
      </c>
      <c r="L606" s="3">
        <v>43.8</v>
      </c>
    </row>
    <row r="607" spans="1:12" x14ac:dyDescent="0.3">
      <c r="A607">
        <v>606</v>
      </c>
      <c r="B607" t="s">
        <v>651</v>
      </c>
      <c r="C607">
        <v>2003</v>
      </c>
      <c r="D607" t="s">
        <v>25</v>
      </c>
      <c r="E607" t="s">
        <v>18</v>
      </c>
      <c r="F607">
        <v>121</v>
      </c>
      <c r="G607" s="2">
        <v>13.5</v>
      </c>
      <c r="H607" s="2">
        <v>5</v>
      </c>
      <c r="I607" s="2">
        <v>6.8</v>
      </c>
      <c r="J607" t="s">
        <v>19</v>
      </c>
      <c r="K607" s="2">
        <v>-8.5</v>
      </c>
      <c r="L607" s="3">
        <v>-63</v>
      </c>
    </row>
    <row r="608" spans="1:12" x14ac:dyDescent="0.3">
      <c r="A608">
        <v>607</v>
      </c>
      <c r="B608" t="s">
        <v>652</v>
      </c>
      <c r="C608">
        <v>1991</v>
      </c>
      <c r="D608" t="s">
        <v>65</v>
      </c>
      <c r="E608" t="s">
        <v>39</v>
      </c>
      <c r="F608">
        <v>131</v>
      </c>
      <c r="G608" s="2">
        <v>81.3</v>
      </c>
      <c r="H608" s="2">
        <v>288.60000000000002</v>
      </c>
      <c r="I608" s="2">
        <v>8.1</v>
      </c>
      <c r="J608" t="s">
        <v>37</v>
      </c>
      <c r="K608" s="2">
        <v>207.3</v>
      </c>
      <c r="L608" s="3">
        <v>255</v>
      </c>
    </row>
    <row r="609" spans="1:12" x14ac:dyDescent="0.3">
      <c r="A609">
        <v>608</v>
      </c>
      <c r="B609" t="s">
        <v>653</v>
      </c>
      <c r="C609">
        <v>1999</v>
      </c>
      <c r="D609" t="s">
        <v>25</v>
      </c>
      <c r="E609" t="s">
        <v>33</v>
      </c>
      <c r="F609">
        <v>187</v>
      </c>
      <c r="G609" s="2">
        <v>13.8</v>
      </c>
      <c r="H609" s="2">
        <v>42.9</v>
      </c>
      <c r="I609" s="2">
        <v>6.8</v>
      </c>
      <c r="J609" t="s">
        <v>23</v>
      </c>
      <c r="K609" s="2">
        <v>29.1</v>
      </c>
      <c r="L609" s="3">
        <v>210.9</v>
      </c>
    </row>
    <row r="610" spans="1:12" x14ac:dyDescent="0.3">
      <c r="A610">
        <v>609</v>
      </c>
      <c r="B610" t="s">
        <v>654</v>
      </c>
      <c r="C610">
        <v>1996</v>
      </c>
      <c r="D610" t="s">
        <v>13</v>
      </c>
      <c r="E610" t="s">
        <v>22</v>
      </c>
      <c r="F610">
        <v>108</v>
      </c>
      <c r="G610" s="2">
        <v>66.3</v>
      </c>
      <c r="H610" s="2">
        <v>89.6</v>
      </c>
      <c r="I610" s="2">
        <v>5.3</v>
      </c>
      <c r="J610" t="s">
        <v>31</v>
      </c>
      <c r="K610" s="2">
        <v>23.3</v>
      </c>
      <c r="L610" s="3">
        <v>35.1</v>
      </c>
    </row>
    <row r="611" spans="1:12" x14ac:dyDescent="0.3">
      <c r="A611">
        <v>610</v>
      </c>
      <c r="B611" t="s">
        <v>655</v>
      </c>
      <c r="C611">
        <v>2021</v>
      </c>
      <c r="D611" t="s">
        <v>45</v>
      </c>
      <c r="E611" t="s">
        <v>22</v>
      </c>
      <c r="F611">
        <v>122</v>
      </c>
      <c r="G611" s="2">
        <v>16.8</v>
      </c>
      <c r="H611" s="2">
        <v>38.5</v>
      </c>
      <c r="I611" s="2">
        <v>7.5</v>
      </c>
      <c r="J611" t="s">
        <v>91</v>
      </c>
      <c r="K611" s="2">
        <v>21.7</v>
      </c>
      <c r="L611" s="3">
        <v>129.19999999999999</v>
      </c>
    </row>
    <row r="612" spans="1:12" x14ac:dyDescent="0.3">
      <c r="A612">
        <v>611</v>
      </c>
      <c r="B612" t="s">
        <v>656</v>
      </c>
      <c r="C612">
        <v>1995</v>
      </c>
      <c r="D612" t="s">
        <v>45</v>
      </c>
      <c r="E612" t="s">
        <v>22</v>
      </c>
      <c r="F612">
        <v>140</v>
      </c>
      <c r="G612" s="2">
        <v>51.9</v>
      </c>
      <c r="H612" s="2">
        <v>155.4</v>
      </c>
      <c r="I612" s="2">
        <v>6.6</v>
      </c>
      <c r="J612" t="s">
        <v>51</v>
      </c>
      <c r="K612" s="2">
        <v>103.5</v>
      </c>
      <c r="L612" s="3">
        <v>199.4</v>
      </c>
    </row>
    <row r="613" spans="1:12" x14ac:dyDescent="0.3">
      <c r="A613">
        <v>612</v>
      </c>
      <c r="B613" t="s">
        <v>657</v>
      </c>
      <c r="C613">
        <v>1997</v>
      </c>
      <c r="D613" t="s">
        <v>17</v>
      </c>
      <c r="E613" t="s">
        <v>18</v>
      </c>
      <c r="F613">
        <v>123</v>
      </c>
      <c r="G613" s="2">
        <v>12.9</v>
      </c>
      <c r="H613" s="2">
        <v>8.3000000000000007</v>
      </c>
      <c r="I613" s="2">
        <v>6.8</v>
      </c>
      <c r="J613" t="s">
        <v>48</v>
      </c>
      <c r="K613" s="2">
        <v>-4.5999999999999996</v>
      </c>
      <c r="L613" s="3">
        <v>-35.700000000000003</v>
      </c>
    </row>
    <row r="614" spans="1:12" x14ac:dyDescent="0.3">
      <c r="A614">
        <v>613</v>
      </c>
      <c r="B614" t="s">
        <v>658</v>
      </c>
      <c r="C614">
        <v>2019</v>
      </c>
      <c r="D614" t="s">
        <v>27</v>
      </c>
      <c r="E614" t="s">
        <v>22</v>
      </c>
      <c r="F614">
        <v>117</v>
      </c>
      <c r="G614" s="2">
        <v>56</v>
      </c>
      <c r="H614" s="2">
        <v>199.2</v>
      </c>
      <c r="I614" s="2">
        <v>9.5</v>
      </c>
      <c r="J614" t="s">
        <v>79</v>
      </c>
      <c r="K614" s="2">
        <v>143.19999999999999</v>
      </c>
      <c r="L614" s="3">
        <v>255.7</v>
      </c>
    </row>
    <row r="615" spans="1:12" x14ac:dyDescent="0.3">
      <c r="A615">
        <v>614</v>
      </c>
      <c r="B615" t="s">
        <v>659</v>
      </c>
      <c r="C615">
        <v>2002</v>
      </c>
      <c r="D615" t="s">
        <v>27</v>
      </c>
      <c r="E615" t="s">
        <v>22</v>
      </c>
      <c r="F615">
        <v>88</v>
      </c>
      <c r="G615" s="2">
        <v>29.6</v>
      </c>
      <c r="H615" s="2">
        <v>130</v>
      </c>
      <c r="I615" s="2">
        <v>6.9</v>
      </c>
      <c r="J615" t="s">
        <v>37</v>
      </c>
      <c r="K615" s="2">
        <v>100.4</v>
      </c>
      <c r="L615" s="3">
        <v>339.2</v>
      </c>
    </row>
    <row r="616" spans="1:12" x14ac:dyDescent="0.3">
      <c r="A616">
        <v>615</v>
      </c>
      <c r="B616" t="s">
        <v>660</v>
      </c>
      <c r="C616">
        <v>2016</v>
      </c>
      <c r="D616" t="s">
        <v>65</v>
      </c>
      <c r="E616" t="s">
        <v>18</v>
      </c>
      <c r="F616">
        <v>154</v>
      </c>
      <c r="G616" s="2">
        <v>8.8000000000000007</v>
      </c>
      <c r="H616" s="2">
        <v>23.1</v>
      </c>
      <c r="I616" s="2">
        <v>7.5</v>
      </c>
      <c r="J616" t="s">
        <v>75</v>
      </c>
      <c r="K616" s="2">
        <v>14.3</v>
      </c>
      <c r="L616" s="3">
        <v>162.5</v>
      </c>
    </row>
    <row r="617" spans="1:12" x14ac:dyDescent="0.3">
      <c r="A617">
        <v>616</v>
      </c>
      <c r="B617" t="s">
        <v>661</v>
      </c>
      <c r="C617">
        <v>2008</v>
      </c>
      <c r="D617" t="s">
        <v>36</v>
      </c>
      <c r="E617" t="s">
        <v>22</v>
      </c>
      <c r="F617">
        <v>75</v>
      </c>
      <c r="G617" s="2">
        <v>33.1</v>
      </c>
      <c r="H617" s="2">
        <v>128.6</v>
      </c>
      <c r="I617" s="2">
        <v>6.2</v>
      </c>
      <c r="J617" t="s">
        <v>79</v>
      </c>
      <c r="K617" s="2">
        <v>95.5</v>
      </c>
      <c r="L617" s="3">
        <v>288.5</v>
      </c>
    </row>
    <row r="618" spans="1:12" x14ac:dyDescent="0.3">
      <c r="A618">
        <v>617</v>
      </c>
      <c r="B618" t="s">
        <v>662</v>
      </c>
      <c r="C618">
        <v>2022</v>
      </c>
      <c r="D618" t="s">
        <v>21</v>
      </c>
      <c r="E618" t="s">
        <v>22</v>
      </c>
      <c r="F618">
        <v>137</v>
      </c>
      <c r="G618" s="2">
        <v>145.19999999999999</v>
      </c>
      <c r="H618" s="2">
        <v>530.6</v>
      </c>
      <c r="I618" s="2">
        <v>7.4</v>
      </c>
      <c r="J618" t="s">
        <v>57</v>
      </c>
      <c r="K618" s="2">
        <v>385.4</v>
      </c>
      <c r="L618" s="3">
        <v>265.39999999999998</v>
      </c>
    </row>
    <row r="619" spans="1:12" x14ac:dyDescent="0.3">
      <c r="A619">
        <v>618</v>
      </c>
      <c r="B619" t="s">
        <v>663</v>
      </c>
      <c r="C619">
        <v>1990</v>
      </c>
      <c r="D619" t="s">
        <v>53</v>
      </c>
      <c r="E619" t="s">
        <v>22</v>
      </c>
      <c r="F619">
        <v>103</v>
      </c>
      <c r="G619" s="2">
        <v>57.5</v>
      </c>
      <c r="H619" s="2">
        <v>38.200000000000003</v>
      </c>
      <c r="I619" s="2">
        <v>7</v>
      </c>
      <c r="J619" t="s">
        <v>23</v>
      </c>
      <c r="K619" s="2">
        <v>-19.3</v>
      </c>
      <c r="L619" s="3">
        <v>-33.6</v>
      </c>
    </row>
    <row r="620" spans="1:12" x14ac:dyDescent="0.3">
      <c r="A620">
        <v>619</v>
      </c>
      <c r="B620" t="s">
        <v>664</v>
      </c>
      <c r="C620">
        <v>1999</v>
      </c>
      <c r="D620" t="s">
        <v>25</v>
      </c>
      <c r="E620" t="s">
        <v>22</v>
      </c>
      <c r="F620">
        <v>130</v>
      </c>
      <c r="G620" s="2">
        <v>102.6</v>
      </c>
      <c r="H620" s="2">
        <v>192.9</v>
      </c>
      <c r="I620" s="2">
        <v>6.4</v>
      </c>
      <c r="J620" t="s">
        <v>51</v>
      </c>
      <c r="K620" s="2">
        <v>90.3</v>
      </c>
      <c r="L620" s="3">
        <v>88</v>
      </c>
    </row>
    <row r="621" spans="1:12" x14ac:dyDescent="0.3">
      <c r="A621">
        <v>620</v>
      </c>
      <c r="B621" t="s">
        <v>665</v>
      </c>
      <c r="C621">
        <v>1995</v>
      </c>
      <c r="D621" t="s">
        <v>53</v>
      </c>
      <c r="E621" t="s">
        <v>14</v>
      </c>
      <c r="F621">
        <v>126</v>
      </c>
      <c r="G621" s="2">
        <v>151.1</v>
      </c>
      <c r="H621" s="2">
        <v>427.9</v>
      </c>
      <c r="I621" s="2">
        <v>8.1999999999999993</v>
      </c>
      <c r="J621" t="s">
        <v>15</v>
      </c>
      <c r="K621" s="2">
        <v>276.8</v>
      </c>
      <c r="L621" s="3">
        <v>183.2</v>
      </c>
    </row>
    <row r="622" spans="1:12" x14ac:dyDescent="0.3">
      <c r="A622">
        <v>621</v>
      </c>
      <c r="B622" t="s">
        <v>666</v>
      </c>
      <c r="C622">
        <v>2015</v>
      </c>
      <c r="D622" t="s">
        <v>65</v>
      </c>
      <c r="E622" t="s">
        <v>22</v>
      </c>
      <c r="F622">
        <v>124</v>
      </c>
      <c r="G622" s="2">
        <v>85.8</v>
      </c>
      <c r="H622" s="2">
        <v>273.60000000000002</v>
      </c>
      <c r="I622" s="2">
        <v>7.1</v>
      </c>
      <c r="J622" t="s">
        <v>57</v>
      </c>
      <c r="K622" s="2">
        <v>187.8</v>
      </c>
      <c r="L622" s="3">
        <v>218.9</v>
      </c>
    </row>
    <row r="623" spans="1:12" x14ac:dyDescent="0.3">
      <c r="A623">
        <v>622</v>
      </c>
      <c r="B623" t="s">
        <v>667</v>
      </c>
      <c r="C623">
        <v>2014</v>
      </c>
      <c r="D623" t="s">
        <v>47</v>
      </c>
      <c r="E623" t="s">
        <v>22</v>
      </c>
      <c r="F623">
        <v>168</v>
      </c>
      <c r="G623" s="2">
        <v>26.5</v>
      </c>
      <c r="H623" s="2">
        <v>51.3</v>
      </c>
      <c r="I623" s="2">
        <v>8.1999999999999993</v>
      </c>
      <c r="J623" t="s">
        <v>91</v>
      </c>
      <c r="K623" s="2">
        <v>24.8</v>
      </c>
      <c r="L623" s="3">
        <v>93.6</v>
      </c>
    </row>
    <row r="624" spans="1:12" x14ac:dyDescent="0.3">
      <c r="A624">
        <v>623</v>
      </c>
      <c r="B624" t="s">
        <v>668</v>
      </c>
      <c r="C624">
        <v>2010</v>
      </c>
      <c r="D624" t="s">
        <v>36</v>
      </c>
      <c r="E624" t="s">
        <v>22</v>
      </c>
      <c r="F624">
        <v>165</v>
      </c>
      <c r="G624" s="2">
        <v>172.7</v>
      </c>
      <c r="H624" s="2">
        <v>413.6</v>
      </c>
      <c r="I624" s="2">
        <v>8.6999999999999993</v>
      </c>
      <c r="J624" t="s">
        <v>79</v>
      </c>
      <c r="K624" s="2">
        <v>240.9</v>
      </c>
      <c r="L624" s="3">
        <v>139.5</v>
      </c>
    </row>
    <row r="625" spans="1:12" x14ac:dyDescent="0.3">
      <c r="A625">
        <v>624</v>
      </c>
      <c r="B625" t="s">
        <v>669</v>
      </c>
      <c r="C625">
        <v>1999</v>
      </c>
      <c r="D625" t="s">
        <v>17</v>
      </c>
      <c r="E625" t="s">
        <v>22</v>
      </c>
      <c r="F625">
        <v>144</v>
      </c>
      <c r="G625" s="2">
        <v>48.3</v>
      </c>
      <c r="H625" s="2">
        <v>248.3</v>
      </c>
      <c r="I625" s="2">
        <v>6</v>
      </c>
      <c r="J625" t="s">
        <v>31</v>
      </c>
      <c r="K625" s="2">
        <v>200</v>
      </c>
      <c r="L625" s="3">
        <v>414.1</v>
      </c>
    </row>
    <row r="626" spans="1:12" x14ac:dyDescent="0.3">
      <c r="A626">
        <v>625</v>
      </c>
      <c r="B626" t="s">
        <v>670</v>
      </c>
      <c r="C626">
        <v>2018</v>
      </c>
      <c r="D626" t="s">
        <v>25</v>
      </c>
      <c r="E626" t="s">
        <v>22</v>
      </c>
      <c r="F626">
        <v>80</v>
      </c>
      <c r="G626" s="2">
        <v>83.9</v>
      </c>
      <c r="H626" s="2">
        <v>420.8</v>
      </c>
      <c r="I626" s="2">
        <v>7</v>
      </c>
      <c r="J626" t="s">
        <v>51</v>
      </c>
      <c r="K626" s="2">
        <v>336.9</v>
      </c>
      <c r="L626" s="3">
        <v>401.5</v>
      </c>
    </row>
    <row r="627" spans="1:12" x14ac:dyDescent="0.3">
      <c r="A627">
        <v>626</v>
      </c>
      <c r="B627" t="s">
        <v>671</v>
      </c>
      <c r="C627">
        <v>2017</v>
      </c>
      <c r="D627" t="s">
        <v>17</v>
      </c>
      <c r="E627" t="s">
        <v>14</v>
      </c>
      <c r="F627">
        <v>137</v>
      </c>
      <c r="G627" s="2">
        <v>33.9</v>
      </c>
      <c r="H627" s="2">
        <v>37</v>
      </c>
      <c r="I627" s="2">
        <v>6.8</v>
      </c>
      <c r="J627" t="s">
        <v>15</v>
      </c>
      <c r="K627" s="2">
        <v>3.1</v>
      </c>
      <c r="L627" s="3">
        <v>9.1</v>
      </c>
    </row>
    <row r="628" spans="1:12" x14ac:dyDescent="0.3">
      <c r="A628">
        <v>627</v>
      </c>
      <c r="B628" t="s">
        <v>672</v>
      </c>
      <c r="C628">
        <v>2014</v>
      </c>
      <c r="D628" t="s">
        <v>36</v>
      </c>
      <c r="E628" t="s">
        <v>18</v>
      </c>
      <c r="F628">
        <v>133</v>
      </c>
      <c r="G628" s="2">
        <v>31.4</v>
      </c>
      <c r="H628" s="2">
        <v>64.3</v>
      </c>
      <c r="I628" s="2">
        <v>7.7</v>
      </c>
      <c r="J628" t="s">
        <v>75</v>
      </c>
      <c r="K628" s="2">
        <v>32.9</v>
      </c>
      <c r="L628" s="3">
        <v>104.8</v>
      </c>
    </row>
    <row r="629" spans="1:12" x14ac:dyDescent="0.3">
      <c r="A629">
        <v>628</v>
      </c>
      <c r="B629" t="s">
        <v>673</v>
      </c>
      <c r="C629">
        <v>2012</v>
      </c>
      <c r="D629" t="s">
        <v>36</v>
      </c>
      <c r="E629" t="s">
        <v>18</v>
      </c>
      <c r="F629">
        <v>149</v>
      </c>
      <c r="G629" s="2">
        <v>4.2</v>
      </c>
      <c r="H629" s="2">
        <v>12.6</v>
      </c>
      <c r="I629" s="2">
        <v>8</v>
      </c>
      <c r="J629" t="s">
        <v>68</v>
      </c>
      <c r="K629" s="2">
        <v>8.4</v>
      </c>
      <c r="L629" s="3">
        <v>200</v>
      </c>
    </row>
    <row r="630" spans="1:12" x14ac:dyDescent="0.3">
      <c r="A630">
        <v>629</v>
      </c>
      <c r="B630" t="s">
        <v>674</v>
      </c>
      <c r="C630">
        <v>2019</v>
      </c>
      <c r="D630" t="s">
        <v>13</v>
      </c>
      <c r="E630" t="s">
        <v>30</v>
      </c>
      <c r="F630">
        <v>116</v>
      </c>
      <c r="G630" s="2">
        <v>64.400000000000006</v>
      </c>
      <c r="H630" s="2">
        <v>258.60000000000002</v>
      </c>
      <c r="I630" s="2">
        <v>7.7</v>
      </c>
      <c r="J630" t="s">
        <v>79</v>
      </c>
      <c r="K630" s="2">
        <v>194.2</v>
      </c>
      <c r="L630" s="3">
        <v>301.60000000000002</v>
      </c>
    </row>
    <row r="631" spans="1:12" x14ac:dyDescent="0.3">
      <c r="A631">
        <v>630</v>
      </c>
      <c r="B631" t="s">
        <v>675</v>
      </c>
      <c r="C631">
        <v>2004</v>
      </c>
      <c r="D631" t="s">
        <v>25</v>
      </c>
      <c r="E631" t="s">
        <v>14</v>
      </c>
      <c r="F631">
        <v>105</v>
      </c>
      <c r="G631" s="2">
        <v>44.4</v>
      </c>
      <c r="H631" s="2">
        <v>102.6</v>
      </c>
      <c r="I631" s="2">
        <v>5.4</v>
      </c>
      <c r="J631" t="s">
        <v>15</v>
      </c>
      <c r="K631" s="2">
        <v>58.2</v>
      </c>
      <c r="L631" s="3">
        <v>131.1</v>
      </c>
    </row>
    <row r="632" spans="1:12" x14ac:dyDescent="0.3">
      <c r="A632">
        <v>631</v>
      </c>
      <c r="B632" t="s">
        <v>676</v>
      </c>
      <c r="C632">
        <v>1999</v>
      </c>
      <c r="D632" t="s">
        <v>25</v>
      </c>
      <c r="E632" t="s">
        <v>14</v>
      </c>
      <c r="F632">
        <v>85</v>
      </c>
      <c r="G632" s="2">
        <v>88.6</v>
      </c>
      <c r="H632" s="2">
        <v>412.1</v>
      </c>
      <c r="I632" s="2">
        <v>7.5</v>
      </c>
      <c r="J632" t="s">
        <v>15</v>
      </c>
      <c r="K632" s="2">
        <v>323.5</v>
      </c>
      <c r="L632" s="3">
        <v>365.1</v>
      </c>
    </row>
    <row r="633" spans="1:12" x14ac:dyDescent="0.3">
      <c r="A633">
        <v>632</v>
      </c>
      <c r="B633" t="s">
        <v>677</v>
      </c>
      <c r="C633">
        <v>2004</v>
      </c>
      <c r="D633" t="s">
        <v>13</v>
      </c>
      <c r="E633" t="s">
        <v>18</v>
      </c>
      <c r="F633">
        <v>117</v>
      </c>
      <c r="G633" s="2">
        <v>19.7</v>
      </c>
      <c r="H633" s="2">
        <v>45.3</v>
      </c>
      <c r="I633" s="2">
        <v>7</v>
      </c>
      <c r="J633" t="s">
        <v>68</v>
      </c>
      <c r="K633" s="2">
        <v>25.6</v>
      </c>
      <c r="L633" s="3">
        <v>129.9</v>
      </c>
    </row>
    <row r="634" spans="1:12" x14ac:dyDescent="0.3">
      <c r="A634">
        <v>633</v>
      </c>
      <c r="B634" t="s">
        <v>678</v>
      </c>
      <c r="C634">
        <v>1990</v>
      </c>
      <c r="D634" t="s">
        <v>27</v>
      </c>
      <c r="E634" t="s">
        <v>22</v>
      </c>
      <c r="F634">
        <v>145</v>
      </c>
      <c r="G634" s="2">
        <v>16.399999999999999</v>
      </c>
      <c r="H634" s="2">
        <v>52.2</v>
      </c>
      <c r="I634" s="2">
        <v>6.2</v>
      </c>
      <c r="J634" t="s">
        <v>51</v>
      </c>
      <c r="K634" s="2">
        <v>35.799999999999997</v>
      </c>
      <c r="L634" s="3">
        <v>218.3</v>
      </c>
    </row>
    <row r="635" spans="1:12" x14ac:dyDescent="0.3">
      <c r="A635">
        <v>634</v>
      </c>
      <c r="B635" t="s">
        <v>679</v>
      </c>
      <c r="C635">
        <v>2011</v>
      </c>
      <c r="D635" t="s">
        <v>27</v>
      </c>
      <c r="E635" t="s">
        <v>127</v>
      </c>
      <c r="F635">
        <v>125</v>
      </c>
      <c r="G635" s="2">
        <v>57.9</v>
      </c>
      <c r="H635" s="2">
        <v>76.8</v>
      </c>
      <c r="I635" s="2">
        <v>6.9</v>
      </c>
      <c r="J635" t="s">
        <v>31</v>
      </c>
      <c r="K635" s="2">
        <v>18.899999999999999</v>
      </c>
      <c r="L635" s="3">
        <v>32.6</v>
      </c>
    </row>
    <row r="636" spans="1:12" x14ac:dyDescent="0.3">
      <c r="A636">
        <v>635</v>
      </c>
      <c r="B636" t="s">
        <v>680</v>
      </c>
      <c r="C636">
        <v>2005</v>
      </c>
      <c r="D636" t="s">
        <v>45</v>
      </c>
      <c r="E636" t="s">
        <v>22</v>
      </c>
      <c r="F636">
        <v>118</v>
      </c>
      <c r="G636" s="2">
        <v>25.7</v>
      </c>
      <c r="H636" s="2">
        <v>64.7</v>
      </c>
      <c r="I636" s="2">
        <v>6.9</v>
      </c>
      <c r="J636" t="s">
        <v>40</v>
      </c>
      <c r="K636" s="2">
        <v>39</v>
      </c>
      <c r="L636" s="3">
        <v>151.80000000000001</v>
      </c>
    </row>
    <row r="637" spans="1:12" x14ac:dyDescent="0.3">
      <c r="A637">
        <v>636</v>
      </c>
      <c r="B637" t="s">
        <v>681</v>
      </c>
      <c r="C637">
        <v>1991</v>
      </c>
      <c r="D637" t="s">
        <v>45</v>
      </c>
      <c r="E637" t="s">
        <v>39</v>
      </c>
      <c r="F637">
        <v>97</v>
      </c>
      <c r="G637" s="2">
        <v>28.7</v>
      </c>
      <c r="H637" s="2">
        <v>105.7</v>
      </c>
      <c r="I637" s="2">
        <v>7.8</v>
      </c>
      <c r="J637" t="s">
        <v>79</v>
      </c>
      <c r="K637" s="2">
        <v>77</v>
      </c>
      <c r="L637" s="3">
        <v>268.3</v>
      </c>
    </row>
    <row r="638" spans="1:12" x14ac:dyDescent="0.3">
      <c r="A638">
        <v>637</v>
      </c>
      <c r="B638" t="s">
        <v>682</v>
      </c>
      <c r="C638">
        <v>2008</v>
      </c>
      <c r="D638" t="s">
        <v>47</v>
      </c>
      <c r="E638" t="s">
        <v>18</v>
      </c>
      <c r="F638">
        <v>81</v>
      </c>
      <c r="G638" s="2">
        <v>2.8</v>
      </c>
      <c r="H638" s="2">
        <v>4.8</v>
      </c>
      <c r="I638" s="2">
        <v>7.4</v>
      </c>
      <c r="J638" t="s">
        <v>48</v>
      </c>
      <c r="K638" s="2">
        <v>2</v>
      </c>
      <c r="L638" s="3">
        <v>71.400000000000006</v>
      </c>
    </row>
    <row r="639" spans="1:12" x14ac:dyDescent="0.3">
      <c r="A639">
        <v>638</v>
      </c>
      <c r="B639" t="s">
        <v>683</v>
      </c>
      <c r="C639">
        <v>2022</v>
      </c>
      <c r="D639" t="s">
        <v>27</v>
      </c>
      <c r="E639" t="s">
        <v>18</v>
      </c>
      <c r="F639">
        <v>139</v>
      </c>
      <c r="G639" s="2">
        <v>34.1</v>
      </c>
      <c r="H639" s="2">
        <v>46.4</v>
      </c>
      <c r="I639" s="2">
        <v>7.9</v>
      </c>
      <c r="J639" t="s">
        <v>48</v>
      </c>
      <c r="K639" s="2">
        <v>12.3</v>
      </c>
      <c r="L639" s="3">
        <v>36.1</v>
      </c>
    </row>
    <row r="640" spans="1:12" x14ac:dyDescent="0.3">
      <c r="A640">
        <v>639</v>
      </c>
      <c r="B640" t="s">
        <v>684</v>
      </c>
      <c r="C640">
        <v>2018</v>
      </c>
      <c r="D640" t="s">
        <v>45</v>
      </c>
      <c r="E640" t="s">
        <v>22</v>
      </c>
      <c r="F640">
        <v>131</v>
      </c>
      <c r="G640" s="2">
        <v>51.7</v>
      </c>
      <c r="H640" s="2">
        <v>72.5</v>
      </c>
      <c r="I640" s="2">
        <v>6.1</v>
      </c>
      <c r="J640" t="s">
        <v>34</v>
      </c>
      <c r="K640" s="2">
        <v>20.8</v>
      </c>
      <c r="L640" s="3">
        <v>40.200000000000003</v>
      </c>
    </row>
    <row r="641" spans="1:12" x14ac:dyDescent="0.3">
      <c r="A641">
        <v>640</v>
      </c>
      <c r="B641" t="s">
        <v>685</v>
      </c>
      <c r="C641">
        <v>2007</v>
      </c>
      <c r="D641" t="s">
        <v>53</v>
      </c>
      <c r="E641" t="s">
        <v>22</v>
      </c>
      <c r="F641">
        <v>167</v>
      </c>
      <c r="G641" s="2">
        <v>238.1</v>
      </c>
      <c r="H641" s="2">
        <v>294.89999999999998</v>
      </c>
      <c r="I641" s="2">
        <v>6.3</v>
      </c>
      <c r="J641" t="s">
        <v>91</v>
      </c>
      <c r="K641" s="2">
        <v>56.8</v>
      </c>
      <c r="L641" s="3">
        <v>23.9</v>
      </c>
    </row>
    <row r="642" spans="1:12" x14ac:dyDescent="0.3">
      <c r="A642">
        <v>641</v>
      </c>
      <c r="B642" t="s">
        <v>686</v>
      </c>
      <c r="C642">
        <v>1997</v>
      </c>
      <c r="D642" t="s">
        <v>27</v>
      </c>
      <c r="E642" t="s">
        <v>18</v>
      </c>
      <c r="F642">
        <v>110</v>
      </c>
      <c r="G642" s="2">
        <v>9.6</v>
      </c>
      <c r="H642" s="2">
        <v>13.6</v>
      </c>
      <c r="I642" s="2">
        <v>6.7</v>
      </c>
      <c r="J642" t="s">
        <v>48</v>
      </c>
      <c r="K642" s="2">
        <v>4</v>
      </c>
      <c r="L642" s="3">
        <v>41.7</v>
      </c>
    </row>
    <row r="643" spans="1:12" x14ac:dyDescent="0.3">
      <c r="A643">
        <v>642</v>
      </c>
      <c r="B643" t="s">
        <v>687</v>
      </c>
      <c r="C643">
        <v>2019</v>
      </c>
      <c r="D643" t="s">
        <v>25</v>
      </c>
      <c r="E643" t="s">
        <v>22</v>
      </c>
      <c r="F643">
        <v>154</v>
      </c>
      <c r="G643" s="2">
        <v>26.9</v>
      </c>
      <c r="H643" s="2">
        <v>32.700000000000003</v>
      </c>
      <c r="I643" s="2">
        <v>8.6999999999999993</v>
      </c>
      <c r="J643" t="s">
        <v>23</v>
      </c>
      <c r="K643" s="2">
        <v>5.8</v>
      </c>
      <c r="L643" s="3">
        <v>21.6</v>
      </c>
    </row>
    <row r="644" spans="1:12" x14ac:dyDescent="0.3">
      <c r="A644">
        <v>643</v>
      </c>
      <c r="B644" t="s">
        <v>688</v>
      </c>
      <c r="C644">
        <v>2024</v>
      </c>
      <c r="D644" t="s">
        <v>47</v>
      </c>
      <c r="E644" t="s">
        <v>22</v>
      </c>
      <c r="F644">
        <v>135</v>
      </c>
      <c r="G644" s="2">
        <v>32.799999999999997</v>
      </c>
      <c r="H644" s="2">
        <v>154.30000000000001</v>
      </c>
      <c r="I644" s="2">
        <v>6.5</v>
      </c>
      <c r="J644" t="s">
        <v>91</v>
      </c>
      <c r="K644" s="2">
        <v>121.5</v>
      </c>
      <c r="L644" s="3">
        <v>370.4</v>
      </c>
    </row>
    <row r="645" spans="1:12" x14ac:dyDescent="0.3">
      <c r="A645">
        <v>644</v>
      </c>
      <c r="B645" t="s">
        <v>689</v>
      </c>
      <c r="C645">
        <v>2002</v>
      </c>
      <c r="D645" t="s">
        <v>47</v>
      </c>
      <c r="E645" t="s">
        <v>22</v>
      </c>
      <c r="F645">
        <v>144</v>
      </c>
      <c r="G645" s="2">
        <v>73.7</v>
      </c>
      <c r="H645" s="2">
        <v>188.7</v>
      </c>
      <c r="I645" s="2">
        <v>7.1</v>
      </c>
      <c r="J645" t="s">
        <v>51</v>
      </c>
      <c r="K645" s="2">
        <v>115</v>
      </c>
      <c r="L645" s="3">
        <v>156</v>
      </c>
    </row>
    <row r="646" spans="1:12" x14ac:dyDescent="0.3">
      <c r="A646">
        <v>645</v>
      </c>
      <c r="B646" t="s">
        <v>690</v>
      </c>
      <c r="C646">
        <v>2023</v>
      </c>
      <c r="D646" t="s">
        <v>45</v>
      </c>
      <c r="E646" t="s">
        <v>22</v>
      </c>
      <c r="F646">
        <v>82</v>
      </c>
      <c r="G646" s="2">
        <v>109.5</v>
      </c>
      <c r="H646" s="2">
        <v>64.5</v>
      </c>
      <c r="I646" s="2">
        <v>8</v>
      </c>
      <c r="J646" t="s">
        <v>51</v>
      </c>
      <c r="K646" s="2">
        <v>-45</v>
      </c>
      <c r="L646" s="3">
        <v>-41.1</v>
      </c>
    </row>
    <row r="647" spans="1:12" x14ac:dyDescent="0.3">
      <c r="A647">
        <v>646</v>
      </c>
      <c r="B647" t="s">
        <v>691</v>
      </c>
      <c r="C647">
        <v>1995</v>
      </c>
      <c r="D647" t="s">
        <v>36</v>
      </c>
      <c r="E647" t="s">
        <v>66</v>
      </c>
      <c r="F647">
        <v>134</v>
      </c>
      <c r="G647" s="2">
        <v>221.6</v>
      </c>
      <c r="H647" s="2">
        <v>441</v>
      </c>
      <c r="I647" s="2">
        <v>8.3000000000000007</v>
      </c>
      <c r="J647" t="s">
        <v>31</v>
      </c>
      <c r="K647" s="2">
        <v>219.4</v>
      </c>
      <c r="L647" s="3">
        <v>99</v>
      </c>
    </row>
    <row r="648" spans="1:12" x14ac:dyDescent="0.3">
      <c r="A648">
        <v>647</v>
      </c>
      <c r="B648" t="s">
        <v>692</v>
      </c>
      <c r="C648">
        <v>2010</v>
      </c>
      <c r="D648" t="s">
        <v>17</v>
      </c>
      <c r="E648" t="s">
        <v>22</v>
      </c>
      <c r="F648">
        <v>115</v>
      </c>
      <c r="G648" s="2">
        <v>17.8</v>
      </c>
      <c r="H648" s="2">
        <v>38.4</v>
      </c>
      <c r="I648" s="2">
        <v>7.5</v>
      </c>
      <c r="J648" t="s">
        <v>51</v>
      </c>
      <c r="K648" s="2">
        <v>20.6</v>
      </c>
      <c r="L648" s="3">
        <v>115.7</v>
      </c>
    </row>
    <row r="649" spans="1:12" x14ac:dyDescent="0.3">
      <c r="A649">
        <v>648</v>
      </c>
      <c r="B649" t="s">
        <v>693</v>
      </c>
      <c r="C649">
        <v>2023</v>
      </c>
      <c r="D649" t="s">
        <v>13</v>
      </c>
      <c r="E649" t="s">
        <v>66</v>
      </c>
      <c r="F649">
        <v>96</v>
      </c>
      <c r="G649" s="2">
        <v>191.7</v>
      </c>
      <c r="H649" s="2">
        <v>193</v>
      </c>
      <c r="I649" s="2">
        <v>6.6</v>
      </c>
      <c r="J649" t="s">
        <v>23</v>
      </c>
      <c r="K649" s="2">
        <v>1.3</v>
      </c>
      <c r="L649" s="3">
        <v>0.7</v>
      </c>
    </row>
    <row r="650" spans="1:12" x14ac:dyDescent="0.3">
      <c r="A650">
        <v>649</v>
      </c>
      <c r="B650" t="s">
        <v>694</v>
      </c>
      <c r="C650">
        <v>2012</v>
      </c>
      <c r="D650" t="s">
        <v>53</v>
      </c>
      <c r="E650" t="s">
        <v>18</v>
      </c>
      <c r="F650">
        <v>119</v>
      </c>
      <c r="G650" s="2">
        <v>12.1</v>
      </c>
      <c r="H650" s="2">
        <v>16.899999999999999</v>
      </c>
      <c r="I650" s="2">
        <v>6.7</v>
      </c>
      <c r="J650" t="s">
        <v>59</v>
      </c>
      <c r="K650" s="2">
        <v>4.8</v>
      </c>
      <c r="L650" s="3">
        <v>39.700000000000003</v>
      </c>
    </row>
    <row r="651" spans="1:12" x14ac:dyDescent="0.3">
      <c r="A651">
        <v>650</v>
      </c>
      <c r="B651" t="s">
        <v>695</v>
      </c>
      <c r="C651">
        <v>2008</v>
      </c>
      <c r="D651" t="s">
        <v>13</v>
      </c>
      <c r="E651" t="s">
        <v>18</v>
      </c>
      <c r="F651">
        <v>168</v>
      </c>
      <c r="G651" s="2">
        <v>6.6</v>
      </c>
      <c r="H651" s="2">
        <v>3.6</v>
      </c>
      <c r="I651" s="2">
        <v>5.3</v>
      </c>
      <c r="J651" t="s">
        <v>68</v>
      </c>
      <c r="K651" s="2">
        <v>-3</v>
      </c>
      <c r="L651" s="3">
        <v>-45.5</v>
      </c>
    </row>
    <row r="652" spans="1:12" x14ac:dyDescent="0.3">
      <c r="A652">
        <v>651</v>
      </c>
      <c r="B652" t="s">
        <v>696</v>
      </c>
      <c r="C652">
        <v>2015</v>
      </c>
      <c r="D652" t="s">
        <v>17</v>
      </c>
      <c r="E652" t="s">
        <v>18</v>
      </c>
      <c r="F652">
        <v>108</v>
      </c>
      <c r="G652" s="2">
        <v>1.5</v>
      </c>
      <c r="H652" s="2">
        <v>1.6</v>
      </c>
      <c r="I652" s="2">
        <v>5.8</v>
      </c>
      <c r="J652" t="s">
        <v>59</v>
      </c>
      <c r="K652" s="2">
        <v>0.1</v>
      </c>
      <c r="L652" s="3">
        <v>6.7</v>
      </c>
    </row>
    <row r="653" spans="1:12" x14ac:dyDescent="0.3">
      <c r="A653">
        <v>652</v>
      </c>
      <c r="B653" t="s">
        <v>697</v>
      </c>
      <c r="C653">
        <v>2022</v>
      </c>
      <c r="D653" t="s">
        <v>27</v>
      </c>
      <c r="E653" t="s">
        <v>22</v>
      </c>
      <c r="F653">
        <v>157</v>
      </c>
      <c r="G653" s="2">
        <v>110.4</v>
      </c>
      <c r="H653" s="2">
        <v>579.9</v>
      </c>
      <c r="I653" s="2">
        <v>6.7</v>
      </c>
      <c r="J653" t="s">
        <v>51</v>
      </c>
      <c r="K653" s="2">
        <v>469.5</v>
      </c>
      <c r="L653" s="3">
        <v>425.3</v>
      </c>
    </row>
    <row r="654" spans="1:12" x14ac:dyDescent="0.3">
      <c r="A654">
        <v>653</v>
      </c>
      <c r="B654" t="s">
        <v>698</v>
      </c>
      <c r="C654">
        <v>2013</v>
      </c>
      <c r="D654" t="s">
        <v>17</v>
      </c>
      <c r="E654" t="s">
        <v>66</v>
      </c>
      <c r="F654">
        <v>107</v>
      </c>
      <c r="G654" s="2">
        <v>35.799999999999997</v>
      </c>
      <c r="H654" s="2">
        <v>163.5</v>
      </c>
      <c r="I654" s="2">
        <v>6.1</v>
      </c>
      <c r="J654" t="s">
        <v>37</v>
      </c>
      <c r="K654" s="2">
        <v>127.7</v>
      </c>
      <c r="L654" s="3">
        <v>356.7</v>
      </c>
    </row>
    <row r="655" spans="1:12" x14ac:dyDescent="0.3">
      <c r="A655">
        <v>654</v>
      </c>
      <c r="B655" t="s">
        <v>699</v>
      </c>
      <c r="C655">
        <v>2001</v>
      </c>
      <c r="D655" t="s">
        <v>45</v>
      </c>
      <c r="E655" t="s">
        <v>22</v>
      </c>
      <c r="F655">
        <v>75</v>
      </c>
      <c r="G655" s="2">
        <v>27</v>
      </c>
      <c r="H655" s="2">
        <v>113.8</v>
      </c>
      <c r="I655" s="2">
        <v>7</v>
      </c>
      <c r="J655" t="s">
        <v>37</v>
      </c>
      <c r="K655" s="2">
        <v>86.8</v>
      </c>
      <c r="L655" s="3">
        <v>321.5</v>
      </c>
    </row>
    <row r="656" spans="1:12" x14ac:dyDescent="0.3">
      <c r="A656">
        <v>655</v>
      </c>
      <c r="B656" t="s">
        <v>700</v>
      </c>
      <c r="C656">
        <v>2010</v>
      </c>
      <c r="D656" t="s">
        <v>27</v>
      </c>
      <c r="E656" t="s">
        <v>18</v>
      </c>
      <c r="F656">
        <v>142</v>
      </c>
      <c r="G656" s="2">
        <v>10.7</v>
      </c>
      <c r="H656" s="2">
        <v>33.9</v>
      </c>
      <c r="I656" s="2">
        <v>7.6</v>
      </c>
      <c r="J656" t="s">
        <v>68</v>
      </c>
      <c r="K656" s="2">
        <v>23.2</v>
      </c>
      <c r="L656" s="3">
        <v>216.8</v>
      </c>
    </row>
    <row r="657" spans="1:12" x14ac:dyDescent="0.3">
      <c r="A657">
        <v>656</v>
      </c>
      <c r="B657" t="s">
        <v>701</v>
      </c>
      <c r="C657">
        <v>1995</v>
      </c>
      <c r="D657" t="s">
        <v>65</v>
      </c>
      <c r="E657" t="s">
        <v>14</v>
      </c>
      <c r="F657">
        <v>75</v>
      </c>
      <c r="G657" s="2">
        <v>25.3</v>
      </c>
      <c r="H657" s="2">
        <v>68.599999999999994</v>
      </c>
      <c r="I657" s="2">
        <v>7.8</v>
      </c>
      <c r="J657" t="s">
        <v>15</v>
      </c>
      <c r="K657" s="2">
        <v>43.3</v>
      </c>
      <c r="L657" s="3">
        <v>171.1</v>
      </c>
    </row>
    <row r="658" spans="1:12" x14ac:dyDescent="0.3">
      <c r="A658">
        <v>657</v>
      </c>
      <c r="B658" t="s">
        <v>702</v>
      </c>
      <c r="C658">
        <v>1994</v>
      </c>
      <c r="D658" t="s">
        <v>21</v>
      </c>
      <c r="E658" t="s">
        <v>22</v>
      </c>
      <c r="F658">
        <v>125</v>
      </c>
      <c r="G658" s="2">
        <v>32</v>
      </c>
      <c r="H658" s="2">
        <v>18.3</v>
      </c>
      <c r="I658" s="2">
        <v>5.9</v>
      </c>
      <c r="J658" t="s">
        <v>34</v>
      </c>
      <c r="K658" s="2">
        <v>-13.7</v>
      </c>
      <c r="L658" s="3">
        <v>-42.8</v>
      </c>
    </row>
    <row r="659" spans="1:12" x14ac:dyDescent="0.3">
      <c r="A659">
        <v>658</v>
      </c>
      <c r="B659" t="s">
        <v>703</v>
      </c>
      <c r="C659">
        <v>2011</v>
      </c>
      <c r="D659" t="s">
        <v>36</v>
      </c>
      <c r="E659" t="s">
        <v>18</v>
      </c>
      <c r="F659">
        <v>113</v>
      </c>
      <c r="G659" s="2">
        <v>8.8000000000000007</v>
      </c>
      <c r="H659" s="2">
        <v>8</v>
      </c>
      <c r="I659" s="2">
        <v>7.2</v>
      </c>
      <c r="J659" t="s">
        <v>59</v>
      </c>
      <c r="K659" s="2">
        <v>-0.8</v>
      </c>
      <c r="L659" s="3">
        <v>-9.1</v>
      </c>
    </row>
    <row r="660" spans="1:12" x14ac:dyDescent="0.3">
      <c r="A660">
        <v>659</v>
      </c>
      <c r="B660" t="s">
        <v>704</v>
      </c>
      <c r="C660">
        <v>2005</v>
      </c>
      <c r="D660" t="s">
        <v>47</v>
      </c>
      <c r="E660" t="s">
        <v>18</v>
      </c>
      <c r="F660">
        <v>118</v>
      </c>
      <c r="G660" s="2">
        <v>26.7</v>
      </c>
      <c r="H660" s="2">
        <v>123.8</v>
      </c>
      <c r="I660" s="2">
        <v>8.1999999999999993</v>
      </c>
      <c r="J660" t="s">
        <v>75</v>
      </c>
      <c r="K660" s="2">
        <v>97.1</v>
      </c>
      <c r="L660" s="3">
        <v>363.7</v>
      </c>
    </row>
    <row r="661" spans="1:12" x14ac:dyDescent="0.3">
      <c r="A661">
        <v>660</v>
      </c>
      <c r="B661" t="s">
        <v>705</v>
      </c>
      <c r="C661">
        <v>1990</v>
      </c>
      <c r="D661" t="s">
        <v>25</v>
      </c>
      <c r="E661" t="s">
        <v>30</v>
      </c>
      <c r="F661">
        <v>144</v>
      </c>
      <c r="G661" s="2">
        <v>61.3</v>
      </c>
      <c r="H661" s="2">
        <v>174</v>
      </c>
      <c r="I661" s="2">
        <v>7.2</v>
      </c>
      <c r="J661" t="s">
        <v>37</v>
      </c>
      <c r="K661" s="2">
        <v>112.7</v>
      </c>
      <c r="L661" s="3">
        <v>183.8</v>
      </c>
    </row>
    <row r="662" spans="1:12" x14ac:dyDescent="0.3">
      <c r="A662">
        <v>661</v>
      </c>
      <c r="B662" t="s">
        <v>706</v>
      </c>
      <c r="C662">
        <v>2025</v>
      </c>
      <c r="D662" t="s">
        <v>25</v>
      </c>
      <c r="E662" t="s">
        <v>14</v>
      </c>
      <c r="F662">
        <v>109</v>
      </c>
      <c r="G662" s="2">
        <v>101.4</v>
      </c>
      <c r="H662" s="2">
        <v>420.4</v>
      </c>
      <c r="I662" s="2">
        <v>6.7</v>
      </c>
      <c r="J662" t="s">
        <v>15</v>
      </c>
      <c r="K662" s="2">
        <v>319</v>
      </c>
      <c r="L662" s="3">
        <v>314.60000000000002</v>
      </c>
    </row>
    <row r="663" spans="1:12" x14ac:dyDescent="0.3">
      <c r="A663">
        <v>662</v>
      </c>
      <c r="B663" t="s">
        <v>707</v>
      </c>
      <c r="C663">
        <v>2000</v>
      </c>
      <c r="D663" t="s">
        <v>13</v>
      </c>
      <c r="E663" t="s">
        <v>18</v>
      </c>
      <c r="F663">
        <v>144</v>
      </c>
      <c r="G663" s="2">
        <v>7.2</v>
      </c>
      <c r="H663" s="2">
        <v>23</v>
      </c>
      <c r="I663" s="2">
        <v>5.7</v>
      </c>
      <c r="J663" t="s">
        <v>19</v>
      </c>
      <c r="K663" s="2">
        <v>15.8</v>
      </c>
      <c r="L663" s="3">
        <v>219.4</v>
      </c>
    </row>
    <row r="664" spans="1:12" x14ac:dyDescent="0.3">
      <c r="A664">
        <v>663</v>
      </c>
      <c r="B664" t="s">
        <v>708</v>
      </c>
      <c r="C664">
        <v>2020</v>
      </c>
      <c r="D664" t="s">
        <v>27</v>
      </c>
      <c r="E664" t="s">
        <v>22</v>
      </c>
      <c r="F664">
        <v>143</v>
      </c>
      <c r="G664" s="2">
        <v>70.7</v>
      </c>
      <c r="H664" s="2">
        <v>281.8</v>
      </c>
      <c r="I664" s="2">
        <v>5.3</v>
      </c>
      <c r="J664" t="s">
        <v>28</v>
      </c>
      <c r="K664" s="2">
        <v>211.1</v>
      </c>
      <c r="L664" s="3">
        <v>298.60000000000002</v>
      </c>
    </row>
    <row r="665" spans="1:12" x14ac:dyDescent="0.3">
      <c r="A665">
        <v>664</v>
      </c>
      <c r="B665" t="s">
        <v>709</v>
      </c>
      <c r="C665">
        <v>2009</v>
      </c>
      <c r="D665" t="s">
        <v>45</v>
      </c>
      <c r="E665" t="s">
        <v>22</v>
      </c>
      <c r="F665">
        <v>177</v>
      </c>
      <c r="G665" s="2">
        <v>26.6</v>
      </c>
      <c r="H665" s="2">
        <v>81.8</v>
      </c>
      <c r="I665" s="2">
        <v>7.1</v>
      </c>
      <c r="J665" t="s">
        <v>79</v>
      </c>
      <c r="K665" s="2">
        <v>55.2</v>
      </c>
      <c r="L665" s="3">
        <v>207.5</v>
      </c>
    </row>
    <row r="666" spans="1:12" x14ac:dyDescent="0.3">
      <c r="A666">
        <v>665</v>
      </c>
      <c r="B666" t="s">
        <v>710</v>
      </c>
      <c r="C666">
        <v>1994</v>
      </c>
      <c r="D666" t="s">
        <v>47</v>
      </c>
      <c r="E666" t="s">
        <v>18</v>
      </c>
      <c r="F666">
        <v>156</v>
      </c>
      <c r="G666" s="2">
        <v>20.100000000000001</v>
      </c>
      <c r="H666" s="2">
        <v>58.4</v>
      </c>
      <c r="I666" s="2">
        <v>7.4</v>
      </c>
      <c r="J666" t="s">
        <v>59</v>
      </c>
      <c r="K666" s="2">
        <v>38.299999999999997</v>
      </c>
      <c r="L666" s="3">
        <v>190.5</v>
      </c>
    </row>
    <row r="667" spans="1:12" x14ac:dyDescent="0.3">
      <c r="A667">
        <v>666</v>
      </c>
      <c r="B667" t="s">
        <v>711</v>
      </c>
      <c r="C667">
        <v>2009</v>
      </c>
      <c r="D667" t="s">
        <v>27</v>
      </c>
      <c r="E667" t="s">
        <v>22</v>
      </c>
      <c r="F667">
        <v>102</v>
      </c>
      <c r="G667" s="2">
        <v>68.2</v>
      </c>
      <c r="H667" s="2">
        <v>273.10000000000002</v>
      </c>
      <c r="I667" s="2">
        <v>8.1</v>
      </c>
      <c r="J667" t="s">
        <v>51</v>
      </c>
      <c r="K667" s="2">
        <v>204.9</v>
      </c>
      <c r="L667" s="3">
        <v>300.39999999999998</v>
      </c>
    </row>
    <row r="668" spans="1:12" x14ac:dyDescent="0.3">
      <c r="A668">
        <v>667</v>
      </c>
      <c r="B668" t="s">
        <v>712</v>
      </c>
      <c r="C668">
        <v>2005</v>
      </c>
      <c r="D668" t="s">
        <v>25</v>
      </c>
      <c r="E668" t="s">
        <v>22</v>
      </c>
      <c r="F668">
        <v>119</v>
      </c>
      <c r="G668" s="2">
        <v>47.9</v>
      </c>
      <c r="H668" s="2">
        <v>213.9</v>
      </c>
      <c r="I668" s="2">
        <v>7.5</v>
      </c>
      <c r="J668" t="s">
        <v>79</v>
      </c>
      <c r="K668" s="2">
        <v>166</v>
      </c>
      <c r="L668" s="3">
        <v>346.6</v>
      </c>
    </row>
    <row r="669" spans="1:12" x14ac:dyDescent="0.3">
      <c r="A669">
        <v>668</v>
      </c>
      <c r="B669" t="s">
        <v>713</v>
      </c>
      <c r="C669">
        <v>2002</v>
      </c>
      <c r="D669" t="s">
        <v>21</v>
      </c>
      <c r="E669" t="s">
        <v>66</v>
      </c>
      <c r="F669">
        <v>108</v>
      </c>
      <c r="G669" s="2">
        <v>116.8</v>
      </c>
      <c r="H669" s="2">
        <v>557.70000000000005</v>
      </c>
      <c r="I669" s="2">
        <v>6.2</v>
      </c>
      <c r="J669" t="s">
        <v>40</v>
      </c>
      <c r="K669" s="2">
        <v>440.9</v>
      </c>
      <c r="L669" s="3">
        <v>377.5</v>
      </c>
    </row>
    <row r="670" spans="1:12" x14ac:dyDescent="0.3">
      <c r="A670">
        <v>669</v>
      </c>
      <c r="B670" t="s">
        <v>714</v>
      </c>
      <c r="C670">
        <v>2007</v>
      </c>
      <c r="D670" t="s">
        <v>47</v>
      </c>
      <c r="E670" t="s">
        <v>18</v>
      </c>
      <c r="F670">
        <v>137</v>
      </c>
      <c r="G670" s="2">
        <v>6.4</v>
      </c>
      <c r="H670" s="2">
        <v>23.5</v>
      </c>
      <c r="I670" s="2">
        <v>7.1</v>
      </c>
      <c r="J670" t="s">
        <v>59</v>
      </c>
      <c r="K670" s="2">
        <v>17.100000000000001</v>
      </c>
      <c r="L670" s="3">
        <v>267.2</v>
      </c>
    </row>
    <row r="671" spans="1:12" x14ac:dyDescent="0.3">
      <c r="A671">
        <v>670</v>
      </c>
      <c r="B671" t="s">
        <v>715</v>
      </c>
      <c r="C671">
        <v>2014</v>
      </c>
      <c r="D671" t="s">
        <v>13</v>
      </c>
      <c r="E671" t="s">
        <v>22</v>
      </c>
      <c r="F671">
        <v>100</v>
      </c>
      <c r="G671" s="2">
        <v>91.3</v>
      </c>
      <c r="H671" s="2">
        <v>247.6</v>
      </c>
      <c r="I671" s="2">
        <v>5.0999999999999996</v>
      </c>
      <c r="J671" t="s">
        <v>57</v>
      </c>
      <c r="K671" s="2">
        <v>156.30000000000001</v>
      </c>
      <c r="L671" s="3">
        <v>171.2</v>
      </c>
    </row>
    <row r="672" spans="1:12" x14ac:dyDescent="0.3">
      <c r="A672">
        <v>671</v>
      </c>
      <c r="B672" t="s">
        <v>716</v>
      </c>
      <c r="C672">
        <v>2002</v>
      </c>
      <c r="D672" t="s">
        <v>36</v>
      </c>
      <c r="E672" t="s">
        <v>22</v>
      </c>
      <c r="F672">
        <v>116</v>
      </c>
      <c r="G672" s="2">
        <v>155.9</v>
      </c>
      <c r="H672" s="2">
        <v>261.89999999999998</v>
      </c>
      <c r="I672" s="2">
        <v>9.5</v>
      </c>
      <c r="J672" t="s">
        <v>57</v>
      </c>
      <c r="K672" s="2">
        <v>106</v>
      </c>
      <c r="L672" s="3">
        <v>68</v>
      </c>
    </row>
    <row r="673" spans="1:12" x14ac:dyDescent="0.3">
      <c r="A673">
        <v>672</v>
      </c>
      <c r="B673" t="s">
        <v>717</v>
      </c>
      <c r="C673">
        <v>2016</v>
      </c>
      <c r="D673" t="s">
        <v>53</v>
      </c>
      <c r="E673" t="s">
        <v>18</v>
      </c>
      <c r="F673">
        <v>117</v>
      </c>
      <c r="G673" s="2">
        <v>9.8000000000000007</v>
      </c>
      <c r="H673" s="2">
        <v>26.5</v>
      </c>
      <c r="I673" s="2">
        <v>6.7</v>
      </c>
      <c r="J673" t="s">
        <v>19</v>
      </c>
      <c r="K673" s="2">
        <v>16.7</v>
      </c>
      <c r="L673" s="3">
        <v>170.4</v>
      </c>
    </row>
    <row r="674" spans="1:12" x14ac:dyDescent="0.3">
      <c r="A674">
        <v>673</v>
      </c>
      <c r="B674" t="s">
        <v>718</v>
      </c>
      <c r="C674">
        <v>2016</v>
      </c>
      <c r="D674" t="s">
        <v>36</v>
      </c>
      <c r="E674" t="s">
        <v>22</v>
      </c>
      <c r="F674">
        <v>123</v>
      </c>
      <c r="G674" s="2">
        <v>58.7</v>
      </c>
      <c r="H674" s="2">
        <v>144.30000000000001</v>
      </c>
      <c r="I674" s="2">
        <v>5.3</v>
      </c>
      <c r="J674" t="s">
        <v>57</v>
      </c>
      <c r="K674" s="2">
        <v>85.6</v>
      </c>
      <c r="L674" s="3">
        <v>145.80000000000001</v>
      </c>
    </row>
    <row r="675" spans="1:12" x14ac:dyDescent="0.3">
      <c r="A675">
        <v>674</v>
      </c>
      <c r="B675" t="s">
        <v>719</v>
      </c>
      <c r="C675">
        <v>2010</v>
      </c>
      <c r="D675" t="s">
        <v>21</v>
      </c>
      <c r="E675" t="s">
        <v>22</v>
      </c>
      <c r="F675">
        <v>143</v>
      </c>
      <c r="G675" s="2">
        <v>64.5</v>
      </c>
      <c r="H675" s="2">
        <v>117.1</v>
      </c>
      <c r="I675" s="2">
        <v>5.9</v>
      </c>
      <c r="J675" t="s">
        <v>57</v>
      </c>
      <c r="K675" s="2">
        <v>52.6</v>
      </c>
      <c r="L675" s="3">
        <v>81.599999999999994</v>
      </c>
    </row>
    <row r="676" spans="1:12" x14ac:dyDescent="0.3">
      <c r="A676">
        <v>675</v>
      </c>
      <c r="B676" t="s">
        <v>720</v>
      </c>
      <c r="C676">
        <v>2014</v>
      </c>
      <c r="D676" t="s">
        <v>13</v>
      </c>
      <c r="E676" t="s">
        <v>18</v>
      </c>
      <c r="F676">
        <v>79</v>
      </c>
      <c r="G676" s="2">
        <v>11.2</v>
      </c>
      <c r="H676" s="2">
        <v>27.3</v>
      </c>
      <c r="I676" s="2">
        <v>6.1</v>
      </c>
      <c r="J676" t="s">
        <v>59</v>
      </c>
      <c r="K676" s="2">
        <v>16.100000000000001</v>
      </c>
      <c r="L676" s="3">
        <v>143.80000000000001</v>
      </c>
    </row>
    <row r="677" spans="1:12" x14ac:dyDescent="0.3">
      <c r="A677">
        <v>676</v>
      </c>
      <c r="B677" t="s">
        <v>721</v>
      </c>
      <c r="C677">
        <v>2003</v>
      </c>
      <c r="D677" t="s">
        <v>45</v>
      </c>
      <c r="E677" t="s">
        <v>22</v>
      </c>
      <c r="F677">
        <v>184</v>
      </c>
      <c r="G677" s="2">
        <v>24.4</v>
      </c>
      <c r="H677" s="2">
        <v>38.799999999999997</v>
      </c>
      <c r="I677" s="2">
        <v>6.8</v>
      </c>
      <c r="J677" t="s">
        <v>79</v>
      </c>
      <c r="K677" s="2">
        <v>14.4</v>
      </c>
      <c r="L677" s="3">
        <v>59</v>
      </c>
    </row>
    <row r="678" spans="1:12" x14ac:dyDescent="0.3">
      <c r="A678">
        <v>677</v>
      </c>
      <c r="B678" t="s">
        <v>722</v>
      </c>
      <c r="C678">
        <v>2021</v>
      </c>
      <c r="D678" t="s">
        <v>13</v>
      </c>
      <c r="E678" t="s">
        <v>22</v>
      </c>
      <c r="F678">
        <v>123</v>
      </c>
      <c r="G678" s="2">
        <v>77.900000000000006</v>
      </c>
      <c r="H678" s="2">
        <v>313.39999999999998</v>
      </c>
      <c r="I678" s="2">
        <v>5.6</v>
      </c>
      <c r="J678" t="s">
        <v>79</v>
      </c>
      <c r="K678" s="2">
        <v>235.5</v>
      </c>
      <c r="L678" s="3">
        <v>302.3</v>
      </c>
    </row>
    <row r="679" spans="1:12" x14ac:dyDescent="0.3">
      <c r="A679">
        <v>678</v>
      </c>
      <c r="B679" t="s">
        <v>723</v>
      </c>
      <c r="C679">
        <v>2015</v>
      </c>
      <c r="D679" t="s">
        <v>27</v>
      </c>
      <c r="E679" t="s">
        <v>22</v>
      </c>
      <c r="F679">
        <v>133</v>
      </c>
      <c r="G679" s="2">
        <v>124.7</v>
      </c>
      <c r="H679" s="2">
        <v>90.6</v>
      </c>
      <c r="I679" s="2">
        <v>6</v>
      </c>
      <c r="J679" t="s">
        <v>28</v>
      </c>
      <c r="K679" s="2">
        <v>-34.1</v>
      </c>
      <c r="L679" s="3">
        <v>-27.3</v>
      </c>
    </row>
    <row r="680" spans="1:12" x14ac:dyDescent="0.3">
      <c r="A680">
        <v>679</v>
      </c>
      <c r="B680" t="s">
        <v>724</v>
      </c>
      <c r="C680">
        <v>2017</v>
      </c>
      <c r="D680" t="s">
        <v>25</v>
      </c>
      <c r="E680" t="s">
        <v>127</v>
      </c>
      <c r="F680">
        <v>130</v>
      </c>
      <c r="G680" s="2">
        <v>31.9</v>
      </c>
      <c r="H680" s="2">
        <v>112</v>
      </c>
      <c r="I680" s="2">
        <v>7.4</v>
      </c>
      <c r="J680" t="s">
        <v>37</v>
      </c>
      <c r="K680" s="2">
        <v>80.099999999999994</v>
      </c>
      <c r="L680" s="3">
        <v>251.1</v>
      </c>
    </row>
    <row r="681" spans="1:12" x14ac:dyDescent="0.3">
      <c r="A681">
        <v>680</v>
      </c>
      <c r="B681" t="s">
        <v>725</v>
      </c>
      <c r="C681">
        <v>2015</v>
      </c>
      <c r="D681" t="s">
        <v>65</v>
      </c>
      <c r="E681" t="s">
        <v>30</v>
      </c>
      <c r="F681">
        <v>119</v>
      </c>
      <c r="G681" s="2">
        <v>13.9</v>
      </c>
      <c r="H681" s="2">
        <v>49.2</v>
      </c>
      <c r="I681" s="2">
        <v>9.1999999999999993</v>
      </c>
      <c r="J681" t="s">
        <v>34</v>
      </c>
      <c r="K681" s="2">
        <v>35.299999999999997</v>
      </c>
      <c r="L681" s="3">
        <v>254</v>
      </c>
    </row>
    <row r="682" spans="1:12" x14ac:dyDescent="0.3">
      <c r="A682">
        <v>681</v>
      </c>
      <c r="B682" t="s">
        <v>726</v>
      </c>
      <c r="C682">
        <v>1997</v>
      </c>
      <c r="D682" t="s">
        <v>47</v>
      </c>
      <c r="E682" t="s">
        <v>18</v>
      </c>
      <c r="F682">
        <v>123</v>
      </c>
      <c r="G682" s="2">
        <v>9.1</v>
      </c>
      <c r="H682" s="2">
        <v>42.7</v>
      </c>
      <c r="I682" s="2">
        <v>7.6</v>
      </c>
      <c r="J682" t="s">
        <v>75</v>
      </c>
      <c r="K682" s="2">
        <v>33.6</v>
      </c>
      <c r="L682" s="3">
        <v>369.2</v>
      </c>
    </row>
    <row r="683" spans="1:12" x14ac:dyDescent="0.3">
      <c r="A683">
        <v>682</v>
      </c>
      <c r="B683" t="s">
        <v>727</v>
      </c>
      <c r="C683">
        <v>1992</v>
      </c>
      <c r="D683" t="s">
        <v>25</v>
      </c>
      <c r="E683" t="s">
        <v>22</v>
      </c>
      <c r="F683">
        <v>100</v>
      </c>
      <c r="G683" s="2">
        <v>105.8</v>
      </c>
      <c r="H683" s="2">
        <v>531.1</v>
      </c>
      <c r="I683" s="2">
        <v>6.4</v>
      </c>
      <c r="J683" t="s">
        <v>37</v>
      </c>
      <c r="K683" s="2">
        <v>425.3</v>
      </c>
      <c r="L683" s="3">
        <v>402</v>
      </c>
    </row>
    <row r="684" spans="1:12" x14ac:dyDescent="0.3">
      <c r="A684">
        <v>683</v>
      </c>
      <c r="B684" t="s">
        <v>728</v>
      </c>
      <c r="C684">
        <v>2011</v>
      </c>
      <c r="D684" t="s">
        <v>27</v>
      </c>
      <c r="E684" t="s">
        <v>18</v>
      </c>
      <c r="F684">
        <v>89</v>
      </c>
      <c r="G684" s="2">
        <v>10</v>
      </c>
      <c r="H684" s="2">
        <v>25.9</v>
      </c>
      <c r="I684" s="2">
        <v>5.9</v>
      </c>
      <c r="J684" t="s">
        <v>48</v>
      </c>
      <c r="K684" s="2">
        <v>15.9</v>
      </c>
      <c r="L684" s="3">
        <v>159</v>
      </c>
    </row>
    <row r="685" spans="1:12" x14ac:dyDescent="0.3">
      <c r="A685">
        <v>684</v>
      </c>
      <c r="B685" t="s">
        <v>729</v>
      </c>
      <c r="C685">
        <v>1997</v>
      </c>
      <c r="D685" t="s">
        <v>17</v>
      </c>
      <c r="E685" t="s">
        <v>22</v>
      </c>
      <c r="F685">
        <v>150</v>
      </c>
      <c r="G685" s="2">
        <v>74.599999999999994</v>
      </c>
      <c r="H685" s="2">
        <v>156</v>
      </c>
      <c r="I685" s="2">
        <v>8</v>
      </c>
      <c r="J685" t="s">
        <v>34</v>
      </c>
      <c r="K685" s="2">
        <v>81.400000000000006</v>
      </c>
      <c r="L685" s="3">
        <v>109.1</v>
      </c>
    </row>
    <row r="686" spans="1:12" x14ac:dyDescent="0.3">
      <c r="A686">
        <v>685</v>
      </c>
      <c r="B686" t="s">
        <v>730</v>
      </c>
      <c r="C686">
        <v>2004</v>
      </c>
      <c r="D686" t="s">
        <v>17</v>
      </c>
      <c r="E686" t="s">
        <v>22</v>
      </c>
      <c r="F686">
        <v>118</v>
      </c>
      <c r="G686" s="2">
        <v>33.5</v>
      </c>
      <c r="H686" s="2">
        <v>55</v>
      </c>
      <c r="I686" s="2">
        <v>6.9</v>
      </c>
      <c r="J686" t="s">
        <v>37</v>
      </c>
      <c r="K686" s="2">
        <v>21.5</v>
      </c>
      <c r="L686" s="3">
        <v>64.2</v>
      </c>
    </row>
    <row r="687" spans="1:12" x14ac:dyDescent="0.3">
      <c r="A687">
        <v>686</v>
      </c>
      <c r="B687" t="s">
        <v>731</v>
      </c>
      <c r="C687">
        <v>2013</v>
      </c>
      <c r="D687" t="s">
        <v>45</v>
      </c>
      <c r="E687" t="s">
        <v>39</v>
      </c>
      <c r="F687">
        <v>115</v>
      </c>
      <c r="G687" s="2">
        <v>45.8</v>
      </c>
      <c r="H687" s="2">
        <v>176.8</v>
      </c>
      <c r="I687" s="2">
        <v>6.5</v>
      </c>
      <c r="J687" t="s">
        <v>51</v>
      </c>
      <c r="K687" s="2">
        <v>131</v>
      </c>
      <c r="L687" s="3">
        <v>286</v>
      </c>
    </row>
    <row r="688" spans="1:12" x14ac:dyDescent="0.3">
      <c r="A688">
        <v>687</v>
      </c>
      <c r="B688" t="s">
        <v>732</v>
      </c>
      <c r="C688">
        <v>2017</v>
      </c>
      <c r="D688" t="s">
        <v>17</v>
      </c>
      <c r="E688" t="s">
        <v>22</v>
      </c>
      <c r="F688">
        <v>130</v>
      </c>
      <c r="G688" s="2">
        <v>104.7</v>
      </c>
      <c r="H688" s="2">
        <v>94</v>
      </c>
      <c r="I688" s="2">
        <v>6.2</v>
      </c>
      <c r="J688" t="s">
        <v>40</v>
      </c>
      <c r="K688" s="2">
        <v>-10.7</v>
      </c>
      <c r="L688" s="3">
        <v>-10.199999999999999</v>
      </c>
    </row>
    <row r="689" spans="1:12" x14ac:dyDescent="0.3">
      <c r="A689">
        <v>688</v>
      </c>
      <c r="B689" t="s">
        <v>733</v>
      </c>
      <c r="C689">
        <v>2013</v>
      </c>
      <c r="D689" t="s">
        <v>45</v>
      </c>
      <c r="E689" t="s">
        <v>127</v>
      </c>
      <c r="F689">
        <v>82</v>
      </c>
      <c r="G689" s="2">
        <v>107.5</v>
      </c>
      <c r="H689" s="2">
        <v>115.2</v>
      </c>
      <c r="I689" s="2">
        <v>7.6</v>
      </c>
      <c r="J689" t="s">
        <v>31</v>
      </c>
      <c r="K689" s="2">
        <v>7.7</v>
      </c>
      <c r="L689" s="3">
        <v>7.2</v>
      </c>
    </row>
    <row r="690" spans="1:12" x14ac:dyDescent="0.3">
      <c r="A690">
        <v>689</v>
      </c>
      <c r="B690" t="s">
        <v>734</v>
      </c>
      <c r="C690">
        <v>2015</v>
      </c>
      <c r="D690" t="s">
        <v>25</v>
      </c>
      <c r="E690" t="s">
        <v>127</v>
      </c>
      <c r="F690">
        <v>104</v>
      </c>
      <c r="G690" s="2">
        <v>52.9</v>
      </c>
      <c r="H690" s="2">
        <v>176.3</v>
      </c>
      <c r="I690" s="2">
        <v>6.6</v>
      </c>
      <c r="J690" t="s">
        <v>37</v>
      </c>
      <c r="K690" s="2">
        <v>123.4</v>
      </c>
      <c r="L690" s="3">
        <v>233.3</v>
      </c>
    </row>
    <row r="691" spans="1:12" x14ac:dyDescent="0.3">
      <c r="A691">
        <v>690</v>
      </c>
      <c r="B691" t="s">
        <v>735</v>
      </c>
      <c r="C691">
        <v>1996</v>
      </c>
      <c r="D691" t="s">
        <v>27</v>
      </c>
      <c r="E691" t="s">
        <v>22</v>
      </c>
      <c r="F691">
        <v>158</v>
      </c>
      <c r="G691" s="2">
        <v>30.4</v>
      </c>
      <c r="H691" s="2">
        <v>76.7</v>
      </c>
      <c r="I691" s="2">
        <v>5.4</v>
      </c>
      <c r="J691" t="s">
        <v>79</v>
      </c>
      <c r="K691" s="2">
        <v>46.3</v>
      </c>
      <c r="L691" s="3">
        <v>152.30000000000001</v>
      </c>
    </row>
    <row r="692" spans="1:12" x14ac:dyDescent="0.3">
      <c r="A692">
        <v>691</v>
      </c>
      <c r="B692" t="s">
        <v>736</v>
      </c>
      <c r="C692">
        <v>2012</v>
      </c>
      <c r="D692" t="s">
        <v>53</v>
      </c>
      <c r="E692" t="s">
        <v>22</v>
      </c>
      <c r="F692">
        <v>125</v>
      </c>
      <c r="G692" s="2">
        <v>244.5</v>
      </c>
      <c r="H692" s="2">
        <v>448</v>
      </c>
      <c r="I692" s="2">
        <v>6.7</v>
      </c>
      <c r="J692" t="s">
        <v>79</v>
      </c>
      <c r="K692" s="2">
        <v>203.5</v>
      </c>
      <c r="L692" s="3">
        <v>83.2</v>
      </c>
    </row>
    <row r="693" spans="1:12" x14ac:dyDescent="0.3">
      <c r="A693">
        <v>692</v>
      </c>
      <c r="B693" t="s">
        <v>737</v>
      </c>
      <c r="C693">
        <v>2014</v>
      </c>
      <c r="D693" t="s">
        <v>45</v>
      </c>
      <c r="E693" t="s">
        <v>22</v>
      </c>
      <c r="F693">
        <v>113</v>
      </c>
      <c r="G693" s="2">
        <v>51</v>
      </c>
      <c r="H693" s="2">
        <v>90.6</v>
      </c>
      <c r="I693" s="2">
        <v>7.6</v>
      </c>
      <c r="J693" t="s">
        <v>23</v>
      </c>
      <c r="K693" s="2">
        <v>39.6</v>
      </c>
      <c r="L693" s="3">
        <v>77.599999999999994</v>
      </c>
    </row>
    <row r="694" spans="1:12" x14ac:dyDescent="0.3">
      <c r="A694">
        <v>693</v>
      </c>
      <c r="B694" t="s">
        <v>738</v>
      </c>
      <c r="C694">
        <v>1999</v>
      </c>
      <c r="D694" t="s">
        <v>65</v>
      </c>
      <c r="E694" t="s">
        <v>22</v>
      </c>
      <c r="F694">
        <v>123</v>
      </c>
      <c r="G694" s="2">
        <v>140.30000000000001</v>
      </c>
      <c r="H694" s="2">
        <v>292.8</v>
      </c>
      <c r="I694" s="2">
        <v>6.9</v>
      </c>
      <c r="J694" t="s">
        <v>40</v>
      </c>
      <c r="K694" s="2">
        <v>152.5</v>
      </c>
      <c r="L694" s="3">
        <v>108.7</v>
      </c>
    </row>
    <row r="695" spans="1:12" x14ac:dyDescent="0.3">
      <c r="A695">
        <v>694</v>
      </c>
      <c r="B695" t="s">
        <v>739</v>
      </c>
      <c r="C695">
        <v>1991</v>
      </c>
      <c r="D695" t="s">
        <v>25</v>
      </c>
      <c r="E695" t="s">
        <v>18</v>
      </c>
      <c r="F695">
        <v>90</v>
      </c>
      <c r="G695" s="2">
        <v>4.2</v>
      </c>
      <c r="H695" s="2">
        <v>14.8</v>
      </c>
      <c r="I695" s="2">
        <v>8.3000000000000007</v>
      </c>
      <c r="J695" t="s">
        <v>68</v>
      </c>
      <c r="K695" s="2">
        <v>10.6</v>
      </c>
      <c r="L695" s="3">
        <v>252.4</v>
      </c>
    </row>
    <row r="696" spans="1:12" x14ac:dyDescent="0.3">
      <c r="A696">
        <v>695</v>
      </c>
      <c r="B696" t="s">
        <v>740</v>
      </c>
      <c r="C696">
        <v>1991</v>
      </c>
      <c r="D696" t="s">
        <v>27</v>
      </c>
      <c r="E696" t="s">
        <v>33</v>
      </c>
      <c r="F696">
        <v>150</v>
      </c>
      <c r="G696" s="2">
        <v>48</v>
      </c>
      <c r="H696" s="2">
        <v>71.3</v>
      </c>
      <c r="I696" s="2">
        <v>7.3</v>
      </c>
      <c r="J696" t="s">
        <v>51</v>
      </c>
      <c r="K696" s="2">
        <v>23.3</v>
      </c>
      <c r="L696" s="3">
        <v>48.5</v>
      </c>
    </row>
    <row r="697" spans="1:12" x14ac:dyDescent="0.3">
      <c r="A697">
        <v>696</v>
      </c>
      <c r="B697" t="s">
        <v>741</v>
      </c>
      <c r="C697">
        <v>2016</v>
      </c>
      <c r="D697" t="s">
        <v>25</v>
      </c>
      <c r="E697" t="s">
        <v>22</v>
      </c>
      <c r="F697">
        <v>156</v>
      </c>
      <c r="G697" s="2">
        <v>34.299999999999997</v>
      </c>
      <c r="H697" s="2">
        <v>63.1</v>
      </c>
      <c r="I697" s="2">
        <v>7.2</v>
      </c>
      <c r="J697" t="s">
        <v>28</v>
      </c>
      <c r="K697" s="2">
        <v>28.8</v>
      </c>
      <c r="L697" s="3">
        <v>84</v>
      </c>
    </row>
    <row r="698" spans="1:12" x14ac:dyDescent="0.3">
      <c r="A698">
        <v>697</v>
      </c>
      <c r="B698" t="s">
        <v>742</v>
      </c>
      <c r="C698">
        <v>2012</v>
      </c>
      <c r="D698" t="s">
        <v>65</v>
      </c>
      <c r="E698" t="s">
        <v>18</v>
      </c>
      <c r="F698">
        <v>98</v>
      </c>
      <c r="G698" s="2">
        <v>26.1</v>
      </c>
      <c r="H698" s="2">
        <v>50.2</v>
      </c>
      <c r="I698" s="2">
        <v>6.3</v>
      </c>
      <c r="J698" t="s">
        <v>68</v>
      </c>
      <c r="K698" s="2">
        <v>24.1</v>
      </c>
      <c r="L698" s="3">
        <v>92.3</v>
      </c>
    </row>
    <row r="699" spans="1:12" x14ac:dyDescent="0.3">
      <c r="A699">
        <v>698</v>
      </c>
      <c r="B699" t="s">
        <v>743</v>
      </c>
      <c r="C699">
        <v>2011</v>
      </c>
      <c r="D699" t="s">
        <v>36</v>
      </c>
      <c r="E699" t="s">
        <v>22</v>
      </c>
      <c r="F699">
        <v>161</v>
      </c>
      <c r="G699" s="2">
        <v>42.9</v>
      </c>
      <c r="H699" s="2">
        <v>89.5</v>
      </c>
      <c r="I699" s="2">
        <v>8.3000000000000007</v>
      </c>
      <c r="J699" t="s">
        <v>23</v>
      </c>
      <c r="K699" s="2">
        <v>46.6</v>
      </c>
      <c r="L699" s="3">
        <v>108.6</v>
      </c>
    </row>
    <row r="700" spans="1:12" x14ac:dyDescent="0.3">
      <c r="A700">
        <v>699</v>
      </c>
      <c r="B700" t="s">
        <v>744</v>
      </c>
      <c r="C700">
        <v>2016</v>
      </c>
      <c r="D700" t="s">
        <v>25</v>
      </c>
      <c r="E700" t="s">
        <v>22</v>
      </c>
      <c r="F700">
        <v>123</v>
      </c>
      <c r="G700" s="2">
        <v>137.69999999999999</v>
      </c>
      <c r="H700" s="2">
        <v>522.4</v>
      </c>
      <c r="I700" s="2">
        <v>6.1</v>
      </c>
      <c r="J700" t="s">
        <v>57</v>
      </c>
      <c r="K700" s="2">
        <v>384.7</v>
      </c>
      <c r="L700" s="3">
        <v>279.39999999999998</v>
      </c>
    </row>
    <row r="701" spans="1:12" x14ac:dyDescent="0.3">
      <c r="A701">
        <v>700</v>
      </c>
      <c r="B701" t="s">
        <v>745</v>
      </c>
      <c r="C701">
        <v>2018</v>
      </c>
      <c r="D701" t="s">
        <v>17</v>
      </c>
      <c r="E701" t="s">
        <v>22</v>
      </c>
      <c r="F701">
        <v>92</v>
      </c>
      <c r="G701" s="2">
        <v>69.2</v>
      </c>
      <c r="H701" s="2">
        <v>205.7</v>
      </c>
      <c r="I701" s="2">
        <v>6.8</v>
      </c>
      <c r="J701" t="s">
        <v>40</v>
      </c>
      <c r="K701" s="2">
        <v>136.5</v>
      </c>
      <c r="L701" s="3">
        <v>197.3</v>
      </c>
    </row>
    <row r="702" spans="1:12" x14ac:dyDescent="0.3">
      <c r="A702">
        <v>701</v>
      </c>
      <c r="B702" t="s">
        <v>746</v>
      </c>
      <c r="C702">
        <v>1990</v>
      </c>
      <c r="D702" t="s">
        <v>25</v>
      </c>
      <c r="E702" t="s">
        <v>22</v>
      </c>
      <c r="F702">
        <v>103</v>
      </c>
      <c r="G702" s="2">
        <v>10.7</v>
      </c>
      <c r="H702" s="2">
        <v>7.4</v>
      </c>
      <c r="I702" s="2">
        <v>7.7</v>
      </c>
      <c r="J702" t="s">
        <v>28</v>
      </c>
      <c r="K702" s="2">
        <v>-3.3</v>
      </c>
      <c r="L702" s="3">
        <v>-30.8</v>
      </c>
    </row>
    <row r="703" spans="1:12" x14ac:dyDescent="0.3">
      <c r="A703">
        <v>702</v>
      </c>
      <c r="B703" t="s">
        <v>747</v>
      </c>
      <c r="C703">
        <v>2015</v>
      </c>
      <c r="D703" t="s">
        <v>25</v>
      </c>
      <c r="E703" t="s">
        <v>22</v>
      </c>
      <c r="F703">
        <v>195</v>
      </c>
      <c r="G703" s="2">
        <v>57.1</v>
      </c>
      <c r="H703" s="2">
        <v>100.7</v>
      </c>
      <c r="I703" s="2">
        <v>5.9</v>
      </c>
      <c r="J703" t="s">
        <v>57</v>
      </c>
      <c r="K703" s="2">
        <v>43.6</v>
      </c>
      <c r="L703" s="3">
        <v>76.400000000000006</v>
      </c>
    </row>
    <row r="704" spans="1:12" x14ac:dyDescent="0.3">
      <c r="A704">
        <v>703</v>
      </c>
      <c r="B704" t="s">
        <v>748</v>
      </c>
      <c r="C704">
        <v>2024</v>
      </c>
      <c r="D704" t="s">
        <v>45</v>
      </c>
      <c r="E704" t="s">
        <v>127</v>
      </c>
      <c r="F704">
        <v>120</v>
      </c>
      <c r="G704" s="2">
        <v>50.9</v>
      </c>
      <c r="H704" s="2">
        <v>224.9</v>
      </c>
      <c r="I704" s="2">
        <v>8.5</v>
      </c>
      <c r="J704" t="s">
        <v>31</v>
      </c>
      <c r="K704" s="2">
        <v>174</v>
      </c>
      <c r="L704" s="3">
        <v>341.8</v>
      </c>
    </row>
    <row r="705" spans="1:12" x14ac:dyDescent="0.3">
      <c r="A705">
        <v>704</v>
      </c>
      <c r="B705" t="s">
        <v>749</v>
      </c>
      <c r="C705">
        <v>2001</v>
      </c>
      <c r="D705" t="s">
        <v>25</v>
      </c>
      <c r="E705" t="s">
        <v>22</v>
      </c>
      <c r="F705">
        <v>143</v>
      </c>
      <c r="G705" s="2">
        <v>13.4</v>
      </c>
      <c r="H705" s="2">
        <v>64.2</v>
      </c>
      <c r="I705" s="2">
        <v>8.9</v>
      </c>
      <c r="J705" t="s">
        <v>37</v>
      </c>
      <c r="K705" s="2">
        <v>50.8</v>
      </c>
      <c r="L705" s="3">
        <v>379.1</v>
      </c>
    </row>
    <row r="706" spans="1:12" x14ac:dyDescent="0.3">
      <c r="A706">
        <v>705</v>
      </c>
      <c r="B706" t="s">
        <v>750</v>
      </c>
      <c r="C706">
        <v>2025</v>
      </c>
      <c r="D706" t="s">
        <v>47</v>
      </c>
      <c r="E706" t="s">
        <v>18</v>
      </c>
      <c r="F706">
        <v>144</v>
      </c>
      <c r="G706" s="2">
        <v>7.4</v>
      </c>
      <c r="H706" s="2">
        <v>23</v>
      </c>
      <c r="I706" s="2">
        <v>6.5</v>
      </c>
      <c r="J706" t="s">
        <v>48</v>
      </c>
      <c r="K706" s="2">
        <v>15.6</v>
      </c>
      <c r="L706" s="3">
        <v>210.8</v>
      </c>
    </row>
    <row r="707" spans="1:12" x14ac:dyDescent="0.3">
      <c r="A707">
        <v>706</v>
      </c>
      <c r="B707" t="s">
        <v>751</v>
      </c>
      <c r="C707">
        <v>2001</v>
      </c>
      <c r="D707" t="s">
        <v>17</v>
      </c>
      <c r="E707" t="s">
        <v>22</v>
      </c>
      <c r="F707">
        <v>125</v>
      </c>
      <c r="G707" s="2">
        <v>77.400000000000006</v>
      </c>
      <c r="H707" s="2">
        <v>237.9</v>
      </c>
      <c r="I707" s="2">
        <v>7.9</v>
      </c>
      <c r="J707" t="s">
        <v>91</v>
      </c>
      <c r="K707" s="2">
        <v>160.5</v>
      </c>
      <c r="L707" s="3">
        <v>207.4</v>
      </c>
    </row>
    <row r="708" spans="1:12" x14ac:dyDescent="0.3">
      <c r="A708">
        <v>707</v>
      </c>
      <c r="B708" t="s">
        <v>752</v>
      </c>
      <c r="C708">
        <v>2014</v>
      </c>
      <c r="D708" t="s">
        <v>45</v>
      </c>
      <c r="E708" t="s">
        <v>39</v>
      </c>
      <c r="F708">
        <v>137</v>
      </c>
      <c r="G708" s="2">
        <v>18.3</v>
      </c>
      <c r="H708" s="2">
        <v>14.8</v>
      </c>
      <c r="I708" s="2">
        <v>8.5</v>
      </c>
      <c r="J708" t="s">
        <v>37</v>
      </c>
      <c r="K708" s="2">
        <v>-3.5</v>
      </c>
      <c r="L708" s="3">
        <v>-19.100000000000001</v>
      </c>
    </row>
    <row r="709" spans="1:12" x14ac:dyDescent="0.3">
      <c r="A709">
        <v>708</v>
      </c>
      <c r="B709" t="s">
        <v>753</v>
      </c>
      <c r="C709">
        <v>2006</v>
      </c>
      <c r="D709" t="s">
        <v>21</v>
      </c>
      <c r="E709" t="s">
        <v>22</v>
      </c>
      <c r="F709">
        <v>111</v>
      </c>
      <c r="G709" s="2">
        <v>150.80000000000001</v>
      </c>
      <c r="H709" s="2">
        <v>578.6</v>
      </c>
      <c r="I709" s="2">
        <v>6.9</v>
      </c>
      <c r="J709" t="s">
        <v>28</v>
      </c>
      <c r="K709" s="2">
        <v>427.8</v>
      </c>
      <c r="L709" s="3">
        <v>283.7</v>
      </c>
    </row>
    <row r="710" spans="1:12" x14ac:dyDescent="0.3">
      <c r="A710">
        <v>709</v>
      </c>
      <c r="B710" t="s">
        <v>754</v>
      </c>
      <c r="C710">
        <v>2018</v>
      </c>
      <c r="D710" t="s">
        <v>17</v>
      </c>
      <c r="E710" t="s">
        <v>30</v>
      </c>
      <c r="F710">
        <v>142</v>
      </c>
      <c r="G710" s="2">
        <v>66</v>
      </c>
      <c r="H710" s="2">
        <v>45.3</v>
      </c>
      <c r="I710" s="2">
        <v>7.9</v>
      </c>
      <c r="J710" t="s">
        <v>51</v>
      </c>
      <c r="K710" s="2">
        <v>-20.7</v>
      </c>
      <c r="L710" s="3">
        <v>-31.4</v>
      </c>
    </row>
    <row r="711" spans="1:12" x14ac:dyDescent="0.3">
      <c r="A711">
        <v>710</v>
      </c>
      <c r="B711" t="s">
        <v>755</v>
      </c>
      <c r="C711">
        <v>2006</v>
      </c>
      <c r="D711" t="s">
        <v>25</v>
      </c>
      <c r="E711" t="s">
        <v>22</v>
      </c>
      <c r="F711">
        <v>115</v>
      </c>
      <c r="G711" s="2">
        <v>120.7</v>
      </c>
      <c r="H711" s="2">
        <v>203.6</v>
      </c>
      <c r="I711" s="2">
        <v>7.7</v>
      </c>
      <c r="J711" t="s">
        <v>91</v>
      </c>
      <c r="K711" s="2">
        <v>82.9</v>
      </c>
      <c r="L711" s="3">
        <v>68.7</v>
      </c>
    </row>
    <row r="712" spans="1:12" x14ac:dyDescent="0.3">
      <c r="A712">
        <v>711</v>
      </c>
      <c r="B712" t="s">
        <v>756</v>
      </c>
      <c r="C712">
        <v>2024</v>
      </c>
      <c r="D712" t="s">
        <v>65</v>
      </c>
      <c r="E712" t="s">
        <v>18</v>
      </c>
      <c r="F712">
        <v>140</v>
      </c>
      <c r="G712" s="2">
        <v>3.7</v>
      </c>
      <c r="H712" s="2">
        <v>7.6</v>
      </c>
      <c r="I712" s="2">
        <v>8.5</v>
      </c>
      <c r="J712" t="s">
        <v>48</v>
      </c>
      <c r="K712" s="2">
        <v>3.9</v>
      </c>
      <c r="L712" s="3">
        <v>105.4</v>
      </c>
    </row>
    <row r="713" spans="1:12" x14ac:dyDescent="0.3">
      <c r="A713">
        <v>712</v>
      </c>
      <c r="B713" t="s">
        <v>757</v>
      </c>
      <c r="C713">
        <v>2009</v>
      </c>
      <c r="D713" t="s">
        <v>17</v>
      </c>
      <c r="E713" t="s">
        <v>22</v>
      </c>
      <c r="F713">
        <v>127</v>
      </c>
      <c r="G713" s="2">
        <v>133.19999999999999</v>
      </c>
      <c r="H713" s="2">
        <v>698.7</v>
      </c>
      <c r="I713" s="2">
        <v>9.1999999999999993</v>
      </c>
      <c r="J713" t="s">
        <v>51</v>
      </c>
      <c r="K713" s="2">
        <v>565.5</v>
      </c>
      <c r="L713" s="3">
        <v>424.5</v>
      </c>
    </row>
    <row r="714" spans="1:12" x14ac:dyDescent="0.3">
      <c r="A714">
        <v>713</v>
      </c>
      <c r="B714" t="s">
        <v>758</v>
      </c>
      <c r="C714">
        <v>2022</v>
      </c>
      <c r="D714" t="s">
        <v>25</v>
      </c>
      <c r="E714" t="s">
        <v>14</v>
      </c>
      <c r="F714">
        <v>79</v>
      </c>
      <c r="G714" s="2">
        <v>38.299999999999997</v>
      </c>
      <c r="H714" s="2">
        <v>176.6</v>
      </c>
      <c r="I714" s="2">
        <v>7.5</v>
      </c>
      <c r="J714" t="s">
        <v>15</v>
      </c>
      <c r="K714" s="2">
        <v>138.30000000000001</v>
      </c>
      <c r="L714" s="3">
        <v>361.1</v>
      </c>
    </row>
    <row r="715" spans="1:12" x14ac:dyDescent="0.3">
      <c r="A715">
        <v>714</v>
      </c>
      <c r="B715" t="s">
        <v>759</v>
      </c>
      <c r="C715">
        <v>1992</v>
      </c>
      <c r="D715" t="s">
        <v>13</v>
      </c>
      <c r="E715" t="s">
        <v>127</v>
      </c>
      <c r="F715">
        <v>94</v>
      </c>
      <c r="G715" s="2">
        <v>64.099999999999994</v>
      </c>
      <c r="H715" s="2">
        <v>203.1</v>
      </c>
      <c r="I715" s="2">
        <v>7.7</v>
      </c>
      <c r="J715" t="s">
        <v>57</v>
      </c>
      <c r="K715" s="2">
        <v>139</v>
      </c>
      <c r="L715" s="3">
        <v>216.8</v>
      </c>
    </row>
    <row r="716" spans="1:12" x14ac:dyDescent="0.3">
      <c r="A716">
        <v>715</v>
      </c>
      <c r="B716" t="s">
        <v>760</v>
      </c>
      <c r="C716">
        <v>2016</v>
      </c>
      <c r="D716" t="s">
        <v>25</v>
      </c>
      <c r="E716" t="s">
        <v>14</v>
      </c>
      <c r="F716">
        <v>160</v>
      </c>
      <c r="G716" s="2">
        <v>54.2</v>
      </c>
      <c r="H716" s="2">
        <v>160.5</v>
      </c>
      <c r="I716" s="2">
        <v>8.1999999999999993</v>
      </c>
      <c r="J716" t="s">
        <v>15</v>
      </c>
      <c r="K716" s="2">
        <v>106.3</v>
      </c>
      <c r="L716" s="3">
        <v>196.1</v>
      </c>
    </row>
    <row r="717" spans="1:12" x14ac:dyDescent="0.3">
      <c r="A717">
        <v>716</v>
      </c>
      <c r="B717" t="s">
        <v>761</v>
      </c>
      <c r="C717">
        <v>2006</v>
      </c>
      <c r="D717" t="s">
        <v>25</v>
      </c>
      <c r="E717" t="s">
        <v>22</v>
      </c>
      <c r="F717">
        <v>143</v>
      </c>
      <c r="G717" s="2">
        <v>118.2</v>
      </c>
      <c r="H717" s="2">
        <v>248.4</v>
      </c>
      <c r="I717" s="2">
        <v>8.4</v>
      </c>
      <c r="J717" t="s">
        <v>40</v>
      </c>
      <c r="K717" s="2">
        <v>130.19999999999999</v>
      </c>
      <c r="L717" s="3">
        <v>110.2</v>
      </c>
    </row>
    <row r="718" spans="1:12" x14ac:dyDescent="0.3">
      <c r="A718">
        <v>717</v>
      </c>
      <c r="B718" t="s">
        <v>762</v>
      </c>
      <c r="C718">
        <v>2008</v>
      </c>
      <c r="D718" t="s">
        <v>21</v>
      </c>
      <c r="E718" t="s">
        <v>22</v>
      </c>
      <c r="F718">
        <v>156</v>
      </c>
      <c r="G718" s="2">
        <v>63.6</v>
      </c>
      <c r="H718" s="2">
        <v>80.099999999999994</v>
      </c>
      <c r="I718" s="2">
        <v>6.9</v>
      </c>
      <c r="J718" t="s">
        <v>34</v>
      </c>
      <c r="K718" s="2">
        <v>16.5</v>
      </c>
      <c r="L718" s="3">
        <v>25.9</v>
      </c>
    </row>
    <row r="719" spans="1:12" x14ac:dyDescent="0.3">
      <c r="A719">
        <v>718</v>
      </c>
      <c r="B719" t="s">
        <v>763</v>
      </c>
      <c r="C719">
        <v>1996</v>
      </c>
      <c r="D719" t="s">
        <v>65</v>
      </c>
      <c r="E719" t="s">
        <v>22</v>
      </c>
      <c r="F719">
        <v>121</v>
      </c>
      <c r="G719" s="2">
        <v>133.5</v>
      </c>
      <c r="H719" s="2">
        <v>233</v>
      </c>
      <c r="I719" s="2">
        <v>7</v>
      </c>
      <c r="J719" t="s">
        <v>31</v>
      </c>
      <c r="K719" s="2">
        <v>99.5</v>
      </c>
      <c r="L719" s="3">
        <v>74.5</v>
      </c>
    </row>
    <row r="720" spans="1:12" x14ac:dyDescent="0.3">
      <c r="A720">
        <v>719</v>
      </c>
      <c r="B720" t="s">
        <v>764</v>
      </c>
      <c r="C720">
        <v>1996</v>
      </c>
      <c r="D720" t="s">
        <v>13</v>
      </c>
      <c r="E720" t="s">
        <v>18</v>
      </c>
      <c r="F720">
        <v>127</v>
      </c>
      <c r="G720" s="2">
        <v>9.8000000000000007</v>
      </c>
      <c r="H720" s="2">
        <v>11.5</v>
      </c>
      <c r="I720" s="2">
        <v>5.6</v>
      </c>
      <c r="J720" t="s">
        <v>19</v>
      </c>
      <c r="K720" s="2">
        <v>1.7</v>
      </c>
      <c r="L720" s="3">
        <v>17.3</v>
      </c>
    </row>
    <row r="721" spans="1:12" x14ac:dyDescent="0.3">
      <c r="A721">
        <v>720</v>
      </c>
      <c r="B721" t="s">
        <v>765</v>
      </c>
      <c r="C721">
        <v>2008</v>
      </c>
      <c r="D721" t="s">
        <v>45</v>
      </c>
      <c r="E721" t="s">
        <v>22</v>
      </c>
      <c r="F721">
        <v>136</v>
      </c>
      <c r="G721" s="2">
        <v>87.3</v>
      </c>
      <c r="H721" s="2">
        <v>219.1</v>
      </c>
      <c r="I721" s="2">
        <v>7.5</v>
      </c>
      <c r="J721" t="s">
        <v>57</v>
      </c>
      <c r="K721" s="2">
        <v>131.80000000000001</v>
      </c>
      <c r="L721" s="3">
        <v>151</v>
      </c>
    </row>
    <row r="722" spans="1:12" x14ac:dyDescent="0.3">
      <c r="A722">
        <v>721</v>
      </c>
      <c r="B722" t="s">
        <v>766</v>
      </c>
      <c r="C722">
        <v>2002</v>
      </c>
      <c r="D722" t="s">
        <v>36</v>
      </c>
      <c r="E722" t="s">
        <v>22</v>
      </c>
      <c r="F722">
        <v>113</v>
      </c>
      <c r="G722" s="2">
        <v>42.8</v>
      </c>
      <c r="H722" s="2">
        <v>52.7</v>
      </c>
      <c r="I722" s="2">
        <v>6.6</v>
      </c>
      <c r="J722" t="s">
        <v>91</v>
      </c>
      <c r="K722" s="2">
        <v>9.9</v>
      </c>
      <c r="L722" s="3">
        <v>23.1</v>
      </c>
    </row>
    <row r="723" spans="1:12" x14ac:dyDescent="0.3">
      <c r="A723">
        <v>722</v>
      </c>
      <c r="B723" t="s">
        <v>767</v>
      </c>
      <c r="C723">
        <v>2002</v>
      </c>
      <c r="D723" t="s">
        <v>53</v>
      </c>
      <c r="E723" t="s">
        <v>30</v>
      </c>
      <c r="F723">
        <v>138</v>
      </c>
      <c r="G723" s="2">
        <v>75</v>
      </c>
      <c r="H723" s="2">
        <v>258.89999999999998</v>
      </c>
      <c r="I723" s="2">
        <v>8.1999999999999993</v>
      </c>
      <c r="J723" t="s">
        <v>28</v>
      </c>
      <c r="K723" s="2">
        <v>183.9</v>
      </c>
      <c r="L723" s="3">
        <v>245.2</v>
      </c>
    </row>
    <row r="724" spans="1:12" x14ac:dyDescent="0.3">
      <c r="A724">
        <v>723</v>
      </c>
      <c r="B724" t="s">
        <v>768</v>
      </c>
      <c r="C724">
        <v>2013</v>
      </c>
      <c r="D724" t="s">
        <v>65</v>
      </c>
      <c r="E724" t="s">
        <v>22</v>
      </c>
      <c r="F724">
        <v>144</v>
      </c>
      <c r="G724" s="2">
        <v>26.9</v>
      </c>
      <c r="H724" s="2">
        <v>87.4</v>
      </c>
      <c r="I724" s="2">
        <v>9.1</v>
      </c>
      <c r="J724" t="s">
        <v>91</v>
      </c>
      <c r="K724" s="2">
        <v>60.5</v>
      </c>
      <c r="L724" s="3">
        <v>224.9</v>
      </c>
    </row>
    <row r="725" spans="1:12" x14ac:dyDescent="0.3">
      <c r="A725">
        <v>724</v>
      </c>
      <c r="B725" t="s">
        <v>769</v>
      </c>
      <c r="C725">
        <v>1995</v>
      </c>
      <c r="D725" t="s">
        <v>36</v>
      </c>
      <c r="E725" t="s">
        <v>18</v>
      </c>
      <c r="F725">
        <v>103</v>
      </c>
      <c r="G725" s="2">
        <v>13.1</v>
      </c>
      <c r="H725" s="2">
        <v>22.6</v>
      </c>
      <c r="I725" s="2">
        <v>6.3</v>
      </c>
      <c r="J725" t="s">
        <v>19</v>
      </c>
      <c r="K725" s="2">
        <v>9.5</v>
      </c>
      <c r="L725" s="3">
        <v>72.5</v>
      </c>
    </row>
    <row r="726" spans="1:12" x14ac:dyDescent="0.3">
      <c r="A726">
        <v>725</v>
      </c>
      <c r="B726" t="s">
        <v>770</v>
      </c>
      <c r="C726">
        <v>2007</v>
      </c>
      <c r="D726" t="s">
        <v>36</v>
      </c>
      <c r="E726" t="s">
        <v>18</v>
      </c>
      <c r="F726">
        <v>122</v>
      </c>
      <c r="G726" s="2">
        <v>12.1</v>
      </c>
      <c r="H726" s="2">
        <v>29.6</v>
      </c>
      <c r="I726" s="2">
        <v>6.3</v>
      </c>
      <c r="J726" t="s">
        <v>48</v>
      </c>
      <c r="K726" s="2">
        <v>17.5</v>
      </c>
      <c r="L726" s="3">
        <v>144.6</v>
      </c>
    </row>
    <row r="727" spans="1:12" x14ac:dyDescent="0.3">
      <c r="A727">
        <v>726</v>
      </c>
      <c r="B727" t="s">
        <v>771</v>
      </c>
      <c r="C727">
        <v>2018</v>
      </c>
      <c r="D727" t="s">
        <v>65</v>
      </c>
      <c r="E727" t="s">
        <v>33</v>
      </c>
      <c r="F727">
        <v>160</v>
      </c>
      <c r="G727" s="2">
        <v>228.1</v>
      </c>
      <c r="H727" s="2">
        <v>239.1</v>
      </c>
      <c r="I727" s="2">
        <v>6.3</v>
      </c>
      <c r="J727" t="s">
        <v>91</v>
      </c>
      <c r="K727" s="2">
        <v>11</v>
      </c>
      <c r="L727" s="3">
        <v>4.8</v>
      </c>
    </row>
    <row r="728" spans="1:12" x14ac:dyDescent="0.3">
      <c r="A728">
        <v>727</v>
      </c>
      <c r="B728" t="s">
        <v>772</v>
      </c>
      <c r="C728">
        <v>1995</v>
      </c>
      <c r="D728" t="s">
        <v>45</v>
      </c>
      <c r="E728" t="s">
        <v>18</v>
      </c>
      <c r="F728">
        <v>133</v>
      </c>
      <c r="G728" s="2">
        <v>40.5</v>
      </c>
      <c r="H728" s="2">
        <v>69.3</v>
      </c>
      <c r="I728" s="2">
        <v>7.5</v>
      </c>
      <c r="J728" t="s">
        <v>19</v>
      </c>
      <c r="K728" s="2">
        <v>28.8</v>
      </c>
      <c r="L728" s="3">
        <v>71.099999999999994</v>
      </c>
    </row>
    <row r="729" spans="1:12" x14ac:dyDescent="0.3">
      <c r="A729">
        <v>728</v>
      </c>
      <c r="B729" t="s">
        <v>773</v>
      </c>
      <c r="C729">
        <v>2005</v>
      </c>
      <c r="D729" t="s">
        <v>47</v>
      </c>
      <c r="E729" t="s">
        <v>22</v>
      </c>
      <c r="F729">
        <v>98</v>
      </c>
      <c r="G729" s="2">
        <v>141.80000000000001</v>
      </c>
      <c r="H729" s="2">
        <v>795.2</v>
      </c>
      <c r="I729" s="2">
        <v>5.3</v>
      </c>
      <c r="J729" t="s">
        <v>91</v>
      </c>
      <c r="K729" s="2">
        <v>653.4</v>
      </c>
      <c r="L729" s="3">
        <v>460.8</v>
      </c>
    </row>
    <row r="730" spans="1:12" x14ac:dyDescent="0.3">
      <c r="A730">
        <v>729</v>
      </c>
      <c r="B730" t="s">
        <v>774</v>
      </c>
      <c r="C730">
        <v>2022</v>
      </c>
      <c r="D730" t="s">
        <v>53</v>
      </c>
      <c r="E730" t="s">
        <v>18</v>
      </c>
      <c r="F730">
        <v>109</v>
      </c>
      <c r="G730" s="2">
        <v>11.6</v>
      </c>
      <c r="H730" s="2">
        <v>9.5</v>
      </c>
      <c r="I730" s="2">
        <v>6.9</v>
      </c>
      <c r="J730" t="s">
        <v>19</v>
      </c>
      <c r="K730" s="2">
        <v>-2.1</v>
      </c>
      <c r="L730" s="3">
        <v>-18.100000000000001</v>
      </c>
    </row>
    <row r="731" spans="1:12" x14ac:dyDescent="0.3">
      <c r="A731">
        <v>730</v>
      </c>
      <c r="B731" t="s">
        <v>775</v>
      </c>
      <c r="C731">
        <v>2013</v>
      </c>
      <c r="D731" t="s">
        <v>45</v>
      </c>
      <c r="E731" t="s">
        <v>18</v>
      </c>
      <c r="F731">
        <v>160</v>
      </c>
      <c r="G731" s="2">
        <v>7.7</v>
      </c>
      <c r="H731" s="2">
        <v>8.5</v>
      </c>
      <c r="I731" s="2">
        <v>6.8</v>
      </c>
      <c r="J731" t="s">
        <v>59</v>
      </c>
      <c r="K731" s="2">
        <v>0.8</v>
      </c>
      <c r="L731" s="3">
        <v>10.4</v>
      </c>
    </row>
    <row r="732" spans="1:12" x14ac:dyDescent="0.3">
      <c r="A732">
        <v>731</v>
      </c>
      <c r="B732" t="s">
        <v>776</v>
      </c>
      <c r="C732">
        <v>2018</v>
      </c>
      <c r="D732" t="s">
        <v>53</v>
      </c>
      <c r="E732" t="s">
        <v>22</v>
      </c>
      <c r="F732">
        <v>82</v>
      </c>
      <c r="G732" s="2">
        <v>163.5</v>
      </c>
      <c r="H732" s="2">
        <v>513</v>
      </c>
      <c r="I732" s="2">
        <v>6.2</v>
      </c>
      <c r="J732" t="s">
        <v>40</v>
      </c>
      <c r="K732" s="2">
        <v>349.5</v>
      </c>
      <c r="L732" s="3">
        <v>213.8</v>
      </c>
    </row>
    <row r="733" spans="1:12" x14ac:dyDescent="0.3">
      <c r="A733">
        <v>732</v>
      </c>
      <c r="B733" t="s">
        <v>777</v>
      </c>
      <c r="C733">
        <v>1995</v>
      </c>
      <c r="D733" t="s">
        <v>53</v>
      </c>
      <c r="E733" t="s">
        <v>18</v>
      </c>
      <c r="F733">
        <v>126</v>
      </c>
      <c r="G733" s="2">
        <v>6.7</v>
      </c>
      <c r="H733" s="2">
        <v>2.9</v>
      </c>
      <c r="I733" s="2">
        <v>7.8</v>
      </c>
      <c r="J733" t="s">
        <v>59</v>
      </c>
      <c r="K733" s="2">
        <v>-3.8</v>
      </c>
      <c r="L733" s="3">
        <v>-56.7</v>
      </c>
    </row>
    <row r="734" spans="1:12" x14ac:dyDescent="0.3">
      <c r="A734">
        <v>733</v>
      </c>
      <c r="B734" t="s">
        <v>778</v>
      </c>
      <c r="C734">
        <v>1995</v>
      </c>
      <c r="D734" t="s">
        <v>17</v>
      </c>
      <c r="E734" t="s">
        <v>14</v>
      </c>
      <c r="F734">
        <v>109</v>
      </c>
      <c r="G734" s="2">
        <v>31.3</v>
      </c>
      <c r="H734" s="2">
        <v>95.3</v>
      </c>
      <c r="I734" s="2">
        <v>8.1999999999999993</v>
      </c>
      <c r="J734" t="s">
        <v>15</v>
      </c>
      <c r="K734" s="2">
        <v>64</v>
      </c>
      <c r="L734" s="3">
        <v>204.5</v>
      </c>
    </row>
    <row r="735" spans="1:12" x14ac:dyDescent="0.3">
      <c r="A735">
        <v>734</v>
      </c>
      <c r="B735" t="s">
        <v>779</v>
      </c>
      <c r="C735">
        <v>1990</v>
      </c>
      <c r="D735" t="s">
        <v>47</v>
      </c>
      <c r="E735" t="s">
        <v>22</v>
      </c>
      <c r="F735">
        <v>141</v>
      </c>
      <c r="G735" s="2">
        <v>55.7</v>
      </c>
      <c r="H735" s="2">
        <v>267.3</v>
      </c>
      <c r="I735" s="2">
        <v>6.6</v>
      </c>
      <c r="J735" t="s">
        <v>51</v>
      </c>
      <c r="K735" s="2">
        <v>211.6</v>
      </c>
      <c r="L735" s="3">
        <v>379.9</v>
      </c>
    </row>
    <row r="736" spans="1:12" x14ac:dyDescent="0.3">
      <c r="A736">
        <v>735</v>
      </c>
      <c r="B736" t="s">
        <v>780</v>
      </c>
      <c r="C736">
        <v>1996</v>
      </c>
      <c r="D736" t="s">
        <v>65</v>
      </c>
      <c r="E736" t="s">
        <v>22</v>
      </c>
      <c r="F736">
        <v>123</v>
      </c>
      <c r="G736" s="2">
        <v>36.9</v>
      </c>
      <c r="H736" s="2">
        <v>87.5</v>
      </c>
      <c r="I736" s="2">
        <v>6.6</v>
      </c>
      <c r="J736" t="s">
        <v>57</v>
      </c>
      <c r="K736" s="2">
        <v>50.6</v>
      </c>
      <c r="L736" s="3">
        <v>137.1</v>
      </c>
    </row>
    <row r="737" spans="1:12" x14ac:dyDescent="0.3">
      <c r="A737">
        <v>736</v>
      </c>
      <c r="B737" t="s">
        <v>781</v>
      </c>
      <c r="C737">
        <v>1991</v>
      </c>
      <c r="D737" t="s">
        <v>36</v>
      </c>
      <c r="E737" t="s">
        <v>18</v>
      </c>
      <c r="F737">
        <v>87</v>
      </c>
      <c r="G737" s="2">
        <v>12</v>
      </c>
      <c r="H737" s="2">
        <v>12.8</v>
      </c>
      <c r="I737" s="2">
        <v>6.3</v>
      </c>
      <c r="J737" t="s">
        <v>59</v>
      </c>
      <c r="K737" s="2">
        <v>0.8</v>
      </c>
      <c r="L737" s="3">
        <v>6.7</v>
      </c>
    </row>
    <row r="738" spans="1:12" x14ac:dyDescent="0.3">
      <c r="A738">
        <v>737</v>
      </c>
      <c r="B738" t="s">
        <v>782</v>
      </c>
      <c r="C738">
        <v>2017</v>
      </c>
      <c r="D738" t="s">
        <v>53</v>
      </c>
      <c r="E738" t="s">
        <v>14</v>
      </c>
      <c r="F738">
        <v>75</v>
      </c>
      <c r="G738" s="2">
        <v>23.1</v>
      </c>
      <c r="H738" s="2">
        <v>43.4</v>
      </c>
      <c r="I738" s="2">
        <v>7.7</v>
      </c>
      <c r="J738" t="s">
        <v>15</v>
      </c>
      <c r="K738" s="2">
        <v>20.3</v>
      </c>
      <c r="L738" s="3">
        <v>87.9</v>
      </c>
    </row>
    <row r="739" spans="1:12" x14ac:dyDescent="0.3">
      <c r="A739">
        <v>738</v>
      </c>
      <c r="B739" t="s">
        <v>783</v>
      </c>
      <c r="C739">
        <v>1996</v>
      </c>
      <c r="D739" t="s">
        <v>65</v>
      </c>
      <c r="E739" t="s">
        <v>22</v>
      </c>
      <c r="F739">
        <v>188</v>
      </c>
      <c r="G739" s="2">
        <v>19.2</v>
      </c>
      <c r="H739" s="2">
        <v>29.6</v>
      </c>
      <c r="I739" s="2">
        <v>8.9</v>
      </c>
      <c r="J739" t="s">
        <v>57</v>
      </c>
      <c r="K739" s="2">
        <v>10.4</v>
      </c>
      <c r="L739" s="3">
        <v>54.2</v>
      </c>
    </row>
    <row r="740" spans="1:12" x14ac:dyDescent="0.3">
      <c r="A740">
        <v>739</v>
      </c>
      <c r="B740" t="s">
        <v>784</v>
      </c>
      <c r="C740">
        <v>2009</v>
      </c>
      <c r="D740" t="s">
        <v>36</v>
      </c>
      <c r="E740" t="s">
        <v>22</v>
      </c>
      <c r="F740">
        <v>154</v>
      </c>
      <c r="G740" s="2">
        <v>35.200000000000003</v>
      </c>
      <c r="H740" s="2">
        <v>35.6</v>
      </c>
      <c r="I740" s="2">
        <v>6.8</v>
      </c>
      <c r="J740" t="s">
        <v>31</v>
      </c>
      <c r="K740" s="2">
        <v>0.4</v>
      </c>
      <c r="L740" s="3">
        <v>1.1000000000000001</v>
      </c>
    </row>
    <row r="741" spans="1:12" x14ac:dyDescent="0.3">
      <c r="A741">
        <v>740</v>
      </c>
      <c r="B741" t="s">
        <v>785</v>
      </c>
      <c r="C741">
        <v>2003</v>
      </c>
      <c r="D741" t="s">
        <v>47</v>
      </c>
      <c r="E741" t="s">
        <v>22</v>
      </c>
      <c r="F741">
        <v>103</v>
      </c>
      <c r="G741" s="2">
        <v>23.9</v>
      </c>
      <c r="H741" s="2">
        <v>88.4</v>
      </c>
      <c r="I741" s="2">
        <v>7.8</v>
      </c>
      <c r="J741" t="s">
        <v>51</v>
      </c>
      <c r="K741" s="2">
        <v>64.5</v>
      </c>
      <c r="L741" s="3">
        <v>269.89999999999998</v>
      </c>
    </row>
    <row r="742" spans="1:12" x14ac:dyDescent="0.3">
      <c r="A742">
        <v>741</v>
      </c>
      <c r="B742" t="s">
        <v>786</v>
      </c>
      <c r="C742">
        <v>2005</v>
      </c>
      <c r="D742" t="s">
        <v>13</v>
      </c>
      <c r="E742" t="s">
        <v>39</v>
      </c>
      <c r="F742">
        <v>75</v>
      </c>
      <c r="G742" s="2">
        <v>111.4</v>
      </c>
      <c r="H742" s="2">
        <v>178.3</v>
      </c>
      <c r="I742" s="2">
        <v>6.2</v>
      </c>
      <c r="J742" t="s">
        <v>40</v>
      </c>
      <c r="K742" s="2">
        <v>66.900000000000006</v>
      </c>
      <c r="L742" s="3">
        <v>60.1</v>
      </c>
    </row>
    <row r="743" spans="1:12" x14ac:dyDescent="0.3">
      <c r="A743">
        <v>742</v>
      </c>
      <c r="B743" t="s">
        <v>787</v>
      </c>
      <c r="C743">
        <v>1999</v>
      </c>
      <c r="D743" t="s">
        <v>36</v>
      </c>
      <c r="E743" t="s">
        <v>22</v>
      </c>
      <c r="F743">
        <v>141</v>
      </c>
      <c r="G743" s="2">
        <v>80</v>
      </c>
      <c r="H743" s="2">
        <v>254.7</v>
      </c>
      <c r="I743" s="2">
        <v>8.3000000000000007</v>
      </c>
      <c r="J743" t="s">
        <v>79</v>
      </c>
      <c r="K743" s="2">
        <v>174.7</v>
      </c>
      <c r="L743" s="3">
        <v>218.4</v>
      </c>
    </row>
    <row r="744" spans="1:12" x14ac:dyDescent="0.3">
      <c r="A744">
        <v>743</v>
      </c>
      <c r="B744" t="s">
        <v>788</v>
      </c>
      <c r="C744">
        <v>1990</v>
      </c>
      <c r="D744" t="s">
        <v>65</v>
      </c>
      <c r="E744" t="s">
        <v>18</v>
      </c>
      <c r="F744">
        <v>112</v>
      </c>
      <c r="G744" s="2">
        <v>4.2</v>
      </c>
      <c r="H744" s="2">
        <v>9.9</v>
      </c>
      <c r="I744" s="2">
        <v>6.5</v>
      </c>
      <c r="J744" t="s">
        <v>68</v>
      </c>
      <c r="K744" s="2">
        <v>5.7</v>
      </c>
      <c r="L744" s="3">
        <v>135.69999999999999</v>
      </c>
    </row>
    <row r="745" spans="1:12" x14ac:dyDescent="0.3">
      <c r="A745">
        <v>744</v>
      </c>
      <c r="B745" t="s">
        <v>789</v>
      </c>
      <c r="C745">
        <v>2008</v>
      </c>
      <c r="D745" t="s">
        <v>45</v>
      </c>
      <c r="E745" t="s">
        <v>18</v>
      </c>
      <c r="F745">
        <v>145</v>
      </c>
      <c r="G745" s="2">
        <v>4</v>
      </c>
      <c r="H745" s="2">
        <v>2.9</v>
      </c>
      <c r="I745" s="2">
        <v>6.8</v>
      </c>
      <c r="J745" t="s">
        <v>19</v>
      </c>
      <c r="K745" s="2">
        <v>-1.1000000000000001</v>
      </c>
      <c r="L745" s="3">
        <v>-27.5</v>
      </c>
    </row>
    <row r="746" spans="1:12" x14ac:dyDescent="0.3">
      <c r="A746">
        <v>745</v>
      </c>
      <c r="B746" t="s">
        <v>790</v>
      </c>
      <c r="C746">
        <v>1998</v>
      </c>
      <c r="D746" t="s">
        <v>25</v>
      </c>
      <c r="E746" t="s">
        <v>18</v>
      </c>
      <c r="F746">
        <v>148</v>
      </c>
      <c r="G746" s="2">
        <v>14.2</v>
      </c>
      <c r="H746" s="2">
        <v>48.2</v>
      </c>
      <c r="I746" s="2">
        <v>8.4</v>
      </c>
      <c r="J746" t="s">
        <v>48</v>
      </c>
      <c r="K746" s="2">
        <v>34</v>
      </c>
      <c r="L746" s="3">
        <v>239.4</v>
      </c>
    </row>
    <row r="747" spans="1:12" x14ac:dyDescent="0.3">
      <c r="A747">
        <v>746</v>
      </c>
      <c r="B747" t="s">
        <v>791</v>
      </c>
      <c r="C747">
        <v>1997</v>
      </c>
      <c r="D747" t="s">
        <v>25</v>
      </c>
      <c r="E747" t="s">
        <v>127</v>
      </c>
      <c r="F747">
        <v>134</v>
      </c>
      <c r="G747" s="2">
        <v>63.6</v>
      </c>
      <c r="H747" s="2">
        <v>73.900000000000006</v>
      </c>
      <c r="I747" s="2">
        <v>6.9</v>
      </c>
      <c r="J747" t="s">
        <v>34</v>
      </c>
      <c r="K747" s="2">
        <v>10.3</v>
      </c>
      <c r="L747" s="3">
        <v>16.2</v>
      </c>
    </row>
    <row r="748" spans="1:12" x14ac:dyDescent="0.3">
      <c r="A748">
        <v>747</v>
      </c>
      <c r="B748" t="s">
        <v>792</v>
      </c>
      <c r="C748">
        <v>1993</v>
      </c>
      <c r="D748" t="s">
        <v>45</v>
      </c>
      <c r="E748" t="s">
        <v>22</v>
      </c>
      <c r="F748">
        <v>129</v>
      </c>
      <c r="G748" s="2">
        <v>31.5</v>
      </c>
      <c r="H748" s="2">
        <v>124.1</v>
      </c>
      <c r="I748" s="2">
        <v>7.3</v>
      </c>
      <c r="J748" t="s">
        <v>28</v>
      </c>
      <c r="K748" s="2">
        <v>92.6</v>
      </c>
      <c r="L748" s="3">
        <v>294</v>
      </c>
    </row>
    <row r="749" spans="1:12" x14ac:dyDescent="0.3">
      <c r="A749">
        <v>748</v>
      </c>
      <c r="B749" t="s">
        <v>793</v>
      </c>
      <c r="C749">
        <v>2010</v>
      </c>
      <c r="D749" t="s">
        <v>27</v>
      </c>
      <c r="E749" t="s">
        <v>33</v>
      </c>
      <c r="F749">
        <v>124</v>
      </c>
      <c r="G749" s="2">
        <v>67.400000000000006</v>
      </c>
      <c r="H749" s="2">
        <v>240.5</v>
      </c>
      <c r="I749" s="2">
        <v>6.2</v>
      </c>
      <c r="J749" t="s">
        <v>91</v>
      </c>
      <c r="K749" s="2">
        <v>173.1</v>
      </c>
      <c r="L749" s="3">
        <v>256.8</v>
      </c>
    </row>
    <row r="750" spans="1:12" x14ac:dyDescent="0.3">
      <c r="A750">
        <v>749</v>
      </c>
      <c r="B750" t="s">
        <v>794</v>
      </c>
      <c r="C750">
        <v>2012</v>
      </c>
      <c r="D750" t="s">
        <v>21</v>
      </c>
      <c r="E750" t="s">
        <v>22</v>
      </c>
      <c r="F750">
        <v>99</v>
      </c>
      <c r="G750" s="2">
        <v>31.3</v>
      </c>
      <c r="H750" s="2">
        <v>38.799999999999997</v>
      </c>
      <c r="I750" s="2">
        <v>6.6</v>
      </c>
      <c r="J750" t="s">
        <v>51</v>
      </c>
      <c r="K750" s="2">
        <v>7.5</v>
      </c>
      <c r="L750" s="3">
        <v>24</v>
      </c>
    </row>
    <row r="751" spans="1:12" x14ac:dyDescent="0.3">
      <c r="A751">
        <v>750</v>
      </c>
      <c r="B751" t="s">
        <v>795</v>
      </c>
      <c r="C751">
        <v>2018</v>
      </c>
      <c r="D751" t="s">
        <v>17</v>
      </c>
      <c r="E751" t="s">
        <v>22</v>
      </c>
      <c r="F751">
        <v>104</v>
      </c>
      <c r="G751" s="2">
        <v>50.1</v>
      </c>
      <c r="H751" s="2">
        <v>50.5</v>
      </c>
      <c r="I751" s="2">
        <v>7.8</v>
      </c>
      <c r="J751" t="s">
        <v>40</v>
      </c>
      <c r="K751" s="2">
        <v>0.4</v>
      </c>
      <c r="L751" s="3">
        <v>0.8</v>
      </c>
    </row>
    <row r="752" spans="1:12" x14ac:dyDescent="0.3">
      <c r="A752">
        <v>751</v>
      </c>
      <c r="B752" t="s">
        <v>796</v>
      </c>
      <c r="C752">
        <v>2017</v>
      </c>
      <c r="D752" t="s">
        <v>36</v>
      </c>
      <c r="E752" t="s">
        <v>22</v>
      </c>
      <c r="F752">
        <v>149</v>
      </c>
      <c r="G752" s="2">
        <v>33.1</v>
      </c>
      <c r="H752" s="2">
        <v>70.3</v>
      </c>
      <c r="I752" s="2">
        <v>6.9</v>
      </c>
      <c r="J752" t="s">
        <v>23</v>
      </c>
      <c r="K752" s="2">
        <v>37.200000000000003</v>
      </c>
      <c r="L752" s="3">
        <v>112.4</v>
      </c>
    </row>
    <row r="753" spans="1:12" x14ac:dyDescent="0.3">
      <c r="A753">
        <v>752</v>
      </c>
      <c r="B753" t="s">
        <v>797</v>
      </c>
      <c r="C753">
        <v>1990</v>
      </c>
      <c r="D753" t="s">
        <v>17</v>
      </c>
      <c r="E753" t="s">
        <v>22</v>
      </c>
      <c r="F753">
        <v>75</v>
      </c>
      <c r="G753" s="2">
        <v>88.3</v>
      </c>
      <c r="H753" s="2">
        <v>280.39999999999998</v>
      </c>
      <c r="I753" s="2">
        <v>7.4</v>
      </c>
      <c r="J753" t="s">
        <v>31</v>
      </c>
      <c r="K753" s="2">
        <v>192.1</v>
      </c>
      <c r="L753" s="3">
        <v>217.6</v>
      </c>
    </row>
    <row r="754" spans="1:12" x14ac:dyDescent="0.3">
      <c r="A754">
        <v>753</v>
      </c>
      <c r="B754" t="s">
        <v>798</v>
      </c>
      <c r="C754">
        <v>1999</v>
      </c>
      <c r="D754" t="s">
        <v>65</v>
      </c>
      <c r="E754" t="s">
        <v>22</v>
      </c>
      <c r="F754">
        <v>97</v>
      </c>
      <c r="G754" s="2">
        <v>124.5</v>
      </c>
      <c r="H754" s="2">
        <v>155.9</v>
      </c>
      <c r="I754" s="2">
        <v>8.8000000000000007</v>
      </c>
      <c r="J754" t="s">
        <v>57</v>
      </c>
      <c r="K754" s="2">
        <v>31.4</v>
      </c>
      <c r="L754" s="3">
        <v>25.2</v>
      </c>
    </row>
    <row r="755" spans="1:12" x14ac:dyDescent="0.3">
      <c r="A755">
        <v>754</v>
      </c>
      <c r="B755" t="s">
        <v>799</v>
      </c>
      <c r="C755">
        <v>2021</v>
      </c>
      <c r="D755" t="s">
        <v>27</v>
      </c>
      <c r="E755" t="s">
        <v>22</v>
      </c>
      <c r="F755">
        <v>153</v>
      </c>
      <c r="G755" s="2">
        <v>45</v>
      </c>
      <c r="H755" s="2">
        <v>100</v>
      </c>
      <c r="I755" s="2">
        <v>8.5</v>
      </c>
      <c r="J755" t="s">
        <v>57</v>
      </c>
      <c r="K755" s="2">
        <v>55</v>
      </c>
      <c r="L755" s="3">
        <v>122.2</v>
      </c>
    </row>
    <row r="756" spans="1:12" x14ac:dyDescent="0.3">
      <c r="A756">
        <v>755</v>
      </c>
      <c r="B756" t="s">
        <v>800</v>
      </c>
      <c r="C756">
        <v>1994</v>
      </c>
      <c r="D756" t="s">
        <v>25</v>
      </c>
      <c r="E756" t="s">
        <v>22</v>
      </c>
      <c r="F756">
        <v>125</v>
      </c>
      <c r="G756" s="2">
        <v>184.8</v>
      </c>
      <c r="H756" s="2">
        <v>129.6</v>
      </c>
      <c r="I756" s="2">
        <v>7.8</v>
      </c>
      <c r="J756" t="s">
        <v>31</v>
      </c>
      <c r="K756" s="2">
        <v>-55.2</v>
      </c>
      <c r="L756" s="3">
        <v>-29.9</v>
      </c>
    </row>
    <row r="757" spans="1:12" x14ac:dyDescent="0.3">
      <c r="A757">
        <v>756</v>
      </c>
      <c r="B757" t="s">
        <v>801</v>
      </c>
      <c r="C757">
        <v>1992</v>
      </c>
      <c r="D757" t="s">
        <v>45</v>
      </c>
      <c r="E757" t="s">
        <v>22</v>
      </c>
      <c r="F757">
        <v>126</v>
      </c>
      <c r="G757" s="2">
        <v>35</v>
      </c>
      <c r="H757" s="2">
        <v>24.2</v>
      </c>
      <c r="I757" s="2">
        <v>7.8</v>
      </c>
      <c r="J757" t="s">
        <v>79</v>
      </c>
      <c r="K757" s="2">
        <v>-10.8</v>
      </c>
      <c r="L757" s="3">
        <v>-30.9</v>
      </c>
    </row>
    <row r="758" spans="1:12" x14ac:dyDescent="0.3">
      <c r="A758">
        <v>757</v>
      </c>
      <c r="B758" t="s">
        <v>802</v>
      </c>
      <c r="C758">
        <v>2021</v>
      </c>
      <c r="D758" t="s">
        <v>13</v>
      </c>
      <c r="E758" t="s">
        <v>18</v>
      </c>
      <c r="F758">
        <v>125</v>
      </c>
      <c r="G758" s="2">
        <v>6.2</v>
      </c>
      <c r="H758" s="2">
        <v>18.600000000000001</v>
      </c>
      <c r="I758" s="2">
        <v>8.3000000000000007</v>
      </c>
      <c r="J758" t="s">
        <v>75</v>
      </c>
      <c r="K758" s="2">
        <v>12.4</v>
      </c>
      <c r="L758" s="3">
        <v>200</v>
      </c>
    </row>
    <row r="759" spans="1:12" x14ac:dyDescent="0.3">
      <c r="A759">
        <v>758</v>
      </c>
      <c r="B759" t="s">
        <v>803</v>
      </c>
      <c r="C759">
        <v>2009</v>
      </c>
      <c r="D759" t="s">
        <v>17</v>
      </c>
      <c r="E759" t="s">
        <v>14</v>
      </c>
      <c r="F759">
        <v>87</v>
      </c>
      <c r="G759" s="2">
        <v>49.8</v>
      </c>
      <c r="H759" s="2">
        <v>133.1</v>
      </c>
      <c r="I759" s="2">
        <v>5.9</v>
      </c>
      <c r="J759" t="s">
        <v>15</v>
      </c>
      <c r="K759" s="2">
        <v>83.3</v>
      </c>
      <c r="L759" s="3">
        <v>167.3</v>
      </c>
    </row>
    <row r="760" spans="1:12" x14ac:dyDescent="0.3">
      <c r="A760">
        <v>759</v>
      </c>
      <c r="B760" t="s">
        <v>804</v>
      </c>
      <c r="C760">
        <v>1995</v>
      </c>
      <c r="D760" t="s">
        <v>25</v>
      </c>
      <c r="E760" t="s">
        <v>22</v>
      </c>
      <c r="F760">
        <v>127</v>
      </c>
      <c r="G760" s="2">
        <v>72.7</v>
      </c>
      <c r="H760" s="2">
        <v>39.200000000000003</v>
      </c>
      <c r="I760" s="2">
        <v>8.1</v>
      </c>
      <c r="J760" t="s">
        <v>37</v>
      </c>
      <c r="K760" s="2">
        <v>-33.5</v>
      </c>
      <c r="L760" s="3">
        <v>-46.1</v>
      </c>
    </row>
    <row r="761" spans="1:12" x14ac:dyDescent="0.3">
      <c r="A761">
        <v>760</v>
      </c>
      <c r="B761" t="s">
        <v>805</v>
      </c>
      <c r="C761">
        <v>2019</v>
      </c>
      <c r="D761" t="s">
        <v>21</v>
      </c>
      <c r="E761" t="s">
        <v>18</v>
      </c>
      <c r="F761">
        <v>88</v>
      </c>
      <c r="G761" s="2">
        <v>2.9</v>
      </c>
      <c r="H761" s="2">
        <v>5.2</v>
      </c>
      <c r="I761" s="2">
        <v>7.4</v>
      </c>
      <c r="J761" t="s">
        <v>19</v>
      </c>
      <c r="K761" s="2">
        <v>2.2999999999999998</v>
      </c>
      <c r="L761" s="3">
        <v>79.3</v>
      </c>
    </row>
    <row r="762" spans="1:12" x14ac:dyDescent="0.3">
      <c r="A762">
        <v>761</v>
      </c>
      <c r="B762" t="s">
        <v>806</v>
      </c>
      <c r="C762">
        <v>1991</v>
      </c>
      <c r="D762" t="s">
        <v>65</v>
      </c>
      <c r="E762" t="s">
        <v>22</v>
      </c>
      <c r="F762">
        <v>165</v>
      </c>
      <c r="G762" s="2">
        <v>44.5</v>
      </c>
      <c r="H762" s="2">
        <v>67.2</v>
      </c>
      <c r="I762" s="2">
        <v>6</v>
      </c>
      <c r="J762" t="s">
        <v>23</v>
      </c>
      <c r="K762" s="2">
        <v>22.7</v>
      </c>
      <c r="L762" s="3">
        <v>51</v>
      </c>
    </row>
    <row r="763" spans="1:12" x14ac:dyDescent="0.3">
      <c r="A763">
        <v>762</v>
      </c>
      <c r="B763" t="s">
        <v>807</v>
      </c>
      <c r="C763">
        <v>1991</v>
      </c>
      <c r="D763" t="s">
        <v>13</v>
      </c>
      <c r="E763" t="s">
        <v>22</v>
      </c>
      <c r="F763">
        <v>100</v>
      </c>
      <c r="G763" s="2">
        <v>125.6</v>
      </c>
      <c r="H763" s="2">
        <v>156.6</v>
      </c>
      <c r="I763" s="2">
        <v>6.4</v>
      </c>
      <c r="J763" t="s">
        <v>79</v>
      </c>
      <c r="K763" s="2">
        <v>31</v>
      </c>
      <c r="L763" s="3">
        <v>24.7</v>
      </c>
    </row>
    <row r="764" spans="1:12" x14ac:dyDescent="0.3">
      <c r="A764">
        <v>763</v>
      </c>
      <c r="B764" t="s">
        <v>808</v>
      </c>
      <c r="C764">
        <v>1993</v>
      </c>
      <c r="D764" t="s">
        <v>27</v>
      </c>
      <c r="E764" t="s">
        <v>30</v>
      </c>
      <c r="F764">
        <v>125</v>
      </c>
      <c r="G764" s="2">
        <v>26.6</v>
      </c>
      <c r="H764" s="2">
        <v>77</v>
      </c>
      <c r="I764" s="2">
        <v>6.9</v>
      </c>
      <c r="J764" t="s">
        <v>57</v>
      </c>
      <c r="K764" s="2">
        <v>50.4</v>
      </c>
      <c r="L764" s="3">
        <v>189.5</v>
      </c>
    </row>
    <row r="765" spans="1:12" x14ac:dyDescent="0.3">
      <c r="A765">
        <v>764</v>
      </c>
      <c r="B765" t="s">
        <v>809</v>
      </c>
      <c r="C765">
        <v>2020</v>
      </c>
      <c r="D765" t="s">
        <v>36</v>
      </c>
      <c r="E765" t="s">
        <v>22</v>
      </c>
      <c r="F765">
        <v>75</v>
      </c>
      <c r="G765" s="2">
        <v>21.8</v>
      </c>
      <c r="H765" s="2">
        <v>25.9</v>
      </c>
      <c r="I765" s="2">
        <v>6.7</v>
      </c>
      <c r="J765" t="s">
        <v>34</v>
      </c>
      <c r="K765" s="2">
        <v>4.0999999999999996</v>
      </c>
      <c r="L765" s="3">
        <v>18.8</v>
      </c>
    </row>
    <row r="766" spans="1:12" x14ac:dyDescent="0.3">
      <c r="A766">
        <v>765</v>
      </c>
      <c r="B766" t="s">
        <v>810</v>
      </c>
      <c r="C766">
        <v>2017</v>
      </c>
      <c r="D766" t="s">
        <v>17</v>
      </c>
      <c r="E766" t="s">
        <v>30</v>
      </c>
      <c r="F766">
        <v>146</v>
      </c>
      <c r="G766" s="2">
        <v>40.200000000000003</v>
      </c>
      <c r="H766" s="2">
        <v>93.1</v>
      </c>
      <c r="I766" s="2">
        <v>6</v>
      </c>
      <c r="J766" t="s">
        <v>57</v>
      </c>
      <c r="K766" s="2">
        <v>52.9</v>
      </c>
      <c r="L766" s="3">
        <v>131.6</v>
      </c>
    </row>
    <row r="767" spans="1:12" x14ac:dyDescent="0.3">
      <c r="A767">
        <v>766</v>
      </c>
      <c r="B767" t="s">
        <v>811</v>
      </c>
      <c r="C767">
        <v>1997</v>
      </c>
      <c r="D767" t="s">
        <v>45</v>
      </c>
      <c r="E767" t="s">
        <v>22</v>
      </c>
      <c r="F767">
        <v>163</v>
      </c>
      <c r="G767" s="2">
        <v>108.3</v>
      </c>
      <c r="H767" s="2">
        <v>70</v>
      </c>
      <c r="I767" s="2">
        <v>7</v>
      </c>
      <c r="J767" t="s">
        <v>51</v>
      </c>
      <c r="K767" s="2">
        <v>-38.299999999999997</v>
      </c>
      <c r="L767" s="3">
        <v>-35.4</v>
      </c>
    </row>
    <row r="768" spans="1:12" x14ac:dyDescent="0.3">
      <c r="A768">
        <v>767</v>
      </c>
      <c r="B768" t="s">
        <v>812</v>
      </c>
      <c r="C768">
        <v>2010</v>
      </c>
      <c r="D768" t="s">
        <v>47</v>
      </c>
      <c r="E768" t="s">
        <v>18</v>
      </c>
      <c r="F768">
        <v>167</v>
      </c>
      <c r="G768" s="2">
        <v>5.2</v>
      </c>
      <c r="H768" s="2">
        <v>17.7</v>
      </c>
      <c r="I768" s="2">
        <v>5.8</v>
      </c>
      <c r="J768" t="s">
        <v>48</v>
      </c>
      <c r="K768" s="2">
        <v>12.5</v>
      </c>
      <c r="L768" s="3">
        <v>240.4</v>
      </c>
    </row>
    <row r="769" spans="1:12" x14ac:dyDescent="0.3">
      <c r="A769">
        <v>768</v>
      </c>
      <c r="B769" t="s">
        <v>813</v>
      </c>
      <c r="C769">
        <v>2002</v>
      </c>
      <c r="D769" t="s">
        <v>17</v>
      </c>
      <c r="E769" t="s">
        <v>22</v>
      </c>
      <c r="F769">
        <v>152</v>
      </c>
      <c r="G769" s="2">
        <v>63.2</v>
      </c>
      <c r="H769" s="2">
        <v>127.7</v>
      </c>
      <c r="I769" s="2">
        <v>7.7</v>
      </c>
      <c r="J769" t="s">
        <v>28</v>
      </c>
      <c r="K769" s="2">
        <v>64.5</v>
      </c>
      <c r="L769" s="3">
        <v>102.1</v>
      </c>
    </row>
    <row r="770" spans="1:12" x14ac:dyDescent="0.3">
      <c r="A770">
        <v>769</v>
      </c>
      <c r="B770" t="s">
        <v>814</v>
      </c>
      <c r="C770">
        <v>1991</v>
      </c>
      <c r="D770" t="s">
        <v>27</v>
      </c>
      <c r="E770" t="s">
        <v>22</v>
      </c>
      <c r="F770">
        <v>148</v>
      </c>
      <c r="G770" s="2">
        <v>378.5</v>
      </c>
      <c r="H770" s="2">
        <v>179.8</v>
      </c>
      <c r="I770" s="2">
        <v>6.9</v>
      </c>
      <c r="J770" t="s">
        <v>79</v>
      </c>
      <c r="K770" s="2">
        <v>-198.7</v>
      </c>
      <c r="L770" s="3">
        <v>-52.5</v>
      </c>
    </row>
    <row r="771" spans="1:12" x14ac:dyDescent="0.3">
      <c r="A771">
        <v>770</v>
      </c>
      <c r="B771" t="s">
        <v>815</v>
      </c>
      <c r="C771">
        <v>2013</v>
      </c>
      <c r="D771" t="s">
        <v>25</v>
      </c>
      <c r="E771" t="s">
        <v>22</v>
      </c>
      <c r="F771">
        <v>115</v>
      </c>
      <c r="G771" s="2">
        <v>82.6</v>
      </c>
      <c r="H771" s="2">
        <v>72.5</v>
      </c>
      <c r="I771" s="2">
        <v>6.9</v>
      </c>
      <c r="J771" t="s">
        <v>34</v>
      </c>
      <c r="K771" s="2">
        <v>-10.1</v>
      </c>
      <c r="L771" s="3">
        <v>-12.2</v>
      </c>
    </row>
    <row r="772" spans="1:12" x14ac:dyDescent="0.3">
      <c r="A772">
        <v>771</v>
      </c>
      <c r="B772" t="s">
        <v>816</v>
      </c>
      <c r="C772">
        <v>2001</v>
      </c>
      <c r="D772" t="s">
        <v>47</v>
      </c>
      <c r="E772" t="s">
        <v>18</v>
      </c>
      <c r="F772">
        <v>127</v>
      </c>
      <c r="G772" s="2">
        <v>12.3</v>
      </c>
      <c r="H772" s="2">
        <v>32.799999999999997</v>
      </c>
      <c r="I772" s="2">
        <v>7.6</v>
      </c>
      <c r="J772" t="s">
        <v>19</v>
      </c>
      <c r="K772" s="2">
        <v>20.5</v>
      </c>
      <c r="L772" s="3">
        <v>166.7</v>
      </c>
    </row>
    <row r="773" spans="1:12" x14ac:dyDescent="0.3">
      <c r="A773">
        <v>772</v>
      </c>
      <c r="B773" t="s">
        <v>817</v>
      </c>
      <c r="C773">
        <v>2004</v>
      </c>
      <c r="D773" t="s">
        <v>47</v>
      </c>
      <c r="E773" t="s">
        <v>22</v>
      </c>
      <c r="F773">
        <v>122</v>
      </c>
      <c r="G773" s="2">
        <v>47.8</v>
      </c>
      <c r="H773" s="2">
        <v>206.2</v>
      </c>
      <c r="I773" s="2">
        <v>8</v>
      </c>
      <c r="J773" t="s">
        <v>31</v>
      </c>
      <c r="K773" s="2">
        <v>158.4</v>
      </c>
      <c r="L773" s="3">
        <v>331.4</v>
      </c>
    </row>
    <row r="774" spans="1:12" x14ac:dyDescent="0.3">
      <c r="A774">
        <v>773</v>
      </c>
      <c r="B774" t="s">
        <v>818</v>
      </c>
      <c r="C774">
        <v>1996</v>
      </c>
      <c r="D774" t="s">
        <v>25</v>
      </c>
      <c r="E774" t="s">
        <v>22</v>
      </c>
      <c r="F774">
        <v>149</v>
      </c>
      <c r="G774" s="2">
        <v>87.7</v>
      </c>
      <c r="H774" s="2">
        <v>157.19999999999999</v>
      </c>
      <c r="I774" s="2">
        <v>6.7</v>
      </c>
      <c r="J774" t="s">
        <v>51</v>
      </c>
      <c r="K774" s="2">
        <v>69.5</v>
      </c>
      <c r="L774" s="3">
        <v>79.2</v>
      </c>
    </row>
    <row r="775" spans="1:12" x14ac:dyDescent="0.3">
      <c r="A775">
        <v>774</v>
      </c>
      <c r="B775" t="s">
        <v>819</v>
      </c>
      <c r="C775">
        <v>2013</v>
      </c>
      <c r="D775" t="s">
        <v>25</v>
      </c>
      <c r="E775" t="s">
        <v>22</v>
      </c>
      <c r="F775">
        <v>97</v>
      </c>
      <c r="G775" s="2">
        <v>33.6</v>
      </c>
      <c r="H775" s="2">
        <v>65.400000000000006</v>
      </c>
      <c r="I775" s="2">
        <v>8.3000000000000007</v>
      </c>
      <c r="J775" t="s">
        <v>31</v>
      </c>
      <c r="K775" s="2">
        <v>31.8</v>
      </c>
      <c r="L775" s="3">
        <v>94.6</v>
      </c>
    </row>
    <row r="776" spans="1:12" x14ac:dyDescent="0.3">
      <c r="A776">
        <v>775</v>
      </c>
      <c r="B776" t="s">
        <v>820</v>
      </c>
      <c r="C776">
        <v>2012</v>
      </c>
      <c r="D776" t="s">
        <v>47</v>
      </c>
      <c r="E776" t="s">
        <v>22</v>
      </c>
      <c r="F776">
        <v>119</v>
      </c>
      <c r="G776" s="2">
        <v>58.4</v>
      </c>
      <c r="H776" s="2">
        <v>343.5</v>
      </c>
      <c r="I776" s="2">
        <v>8.6999999999999993</v>
      </c>
      <c r="J776" t="s">
        <v>51</v>
      </c>
      <c r="K776" s="2">
        <v>285.10000000000002</v>
      </c>
      <c r="L776" s="3">
        <v>488.2</v>
      </c>
    </row>
    <row r="777" spans="1:12" x14ac:dyDescent="0.3">
      <c r="A777">
        <v>776</v>
      </c>
      <c r="B777" t="s">
        <v>821</v>
      </c>
      <c r="C777">
        <v>1992</v>
      </c>
      <c r="D777" t="s">
        <v>45</v>
      </c>
      <c r="E777" t="s">
        <v>18</v>
      </c>
      <c r="F777">
        <v>146</v>
      </c>
      <c r="G777" s="2">
        <v>16.7</v>
      </c>
      <c r="H777" s="2">
        <v>44.5</v>
      </c>
      <c r="I777" s="2">
        <v>6.7</v>
      </c>
      <c r="J777" t="s">
        <v>19</v>
      </c>
      <c r="K777" s="2">
        <v>27.8</v>
      </c>
      <c r="L777" s="3">
        <v>166.5</v>
      </c>
    </row>
    <row r="778" spans="1:12" x14ac:dyDescent="0.3">
      <c r="A778">
        <v>777</v>
      </c>
      <c r="B778" t="s">
        <v>822</v>
      </c>
      <c r="C778">
        <v>2018</v>
      </c>
      <c r="D778" t="s">
        <v>65</v>
      </c>
      <c r="E778" t="s">
        <v>18</v>
      </c>
      <c r="F778">
        <v>134</v>
      </c>
      <c r="G778" s="2">
        <v>5.0999999999999996</v>
      </c>
      <c r="H778" s="2">
        <v>10.3</v>
      </c>
      <c r="I778" s="2">
        <v>6.9</v>
      </c>
      <c r="J778" t="s">
        <v>68</v>
      </c>
      <c r="K778" s="2">
        <v>5.2</v>
      </c>
      <c r="L778" s="3">
        <v>102</v>
      </c>
    </row>
    <row r="779" spans="1:12" x14ac:dyDescent="0.3">
      <c r="A779">
        <v>778</v>
      </c>
      <c r="B779" t="s">
        <v>823</v>
      </c>
      <c r="C779">
        <v>2025</v>
      </c>
      <c r="D779" t="s">
        <v>47</v>
      </c>
      <c r="E779" t="s">
        <v>33</v>
      </c>
      <c r="F779">
        <v>133</v>
      </c>
      <c r="G779" s="2">
        <v>29.4</v>
      </c>
      <c r="H779" s="2">
        <v>127.9</v>
      </c>
      <c r="I779" s="2">
        <v>6.8</v>
      </c>
      <c r="J779" t="s">
        <v>31</v>
      </c>
      <c r="K779" s="2">
        <v>98.5</v>
      </c>
      <c r="L779" s="3">
        <v>335</v>
      </c>
    </row>
    <row r="780" spans="1:12" x14ac:dyDescent="0.3">
      <c r="A780">
        <v>779</v>
      </c>
      <c r="B780" t="s">
        <v>824</v>
      </c>
      <c r="C780">
        <v>1999</v>
      </c>
      <c r="D780" t="s">
        <v>13</v>
      </c>
      <c r="E780" t="s">
        <v>18</v>
      </c>
      <c r="F780">
        <v>112</v>
      </c>
      <c r="G780" s="2">
        <v>20.7</v>
      </c>
      <c r="H780" s="2">
        <v>33.9</v>
      </c>
      <c r="I780" s="2">
        <v>8.9</v>
      </c>
      <c r="J780" t="s">
        <v>59</v>
      </c>
      <c r="K780" s="2">
        <v>13.2</v>
      </c>
      <c r="L780" s="3">
        <v>63.8</v>
      </c>
    </row>
    <row r="781" spans="1:12" x14ac:dyDescent="0.3">
      <c r="A781">
        <v>780</v>
      </c>
      <c r="B781" t="s">
        <v>825</v>
      </c>
      <c r="C781">
        <v>2001</v>
      </c>
      <c r="D781" t="s">
        <v>17</v>
      </c>
      <c r="E781" t="s">
        <v>22</v>
      </c>
      <c r="F781">
        <v>136</v>
      </c>
      <c r="G781" s="2">
        <v>193</v>
      </c>
      <c r="H781" s="2">
        <v>106.3</v>
      </c>
      <c r="I781" s="2">
        <v>6.4</v>
      </c>
      <c r="J781" t="s">
        <v>91</v>
      </c>
      <c r="K781" s="2">
        <v>-86.7</v>
      </c>
      <c r="L781" s="3">
        <v>-44.9</v>
      </c>
    </row>
    <row r="782" spans="1:12" x14ac:dyDescent="0.3">
      <c r="A782">
        <v>781</v>
      </c>
      <c r="B782" t="s">
        <v>826</v>
      </c>
      <c r="C782">
        <v>1990</v>
      </c>
      <c r="D782" t="s">
        <v>25</v>
      </c>
      <c r="E782" t="s">
        <v>22</v>
      </c>
      <c r="F782">
        <v>144</v>
      </c>
      <c r="G782" s="2">
        <v>67.400000000000006</v>
      </c>
      <c r="H782" s="2">
        <v>180</v>
      </c>
      <c r="I782" s="2">
        <v>6.2</v>
      </c>
      <c r="J782" t="s">
        <v>40</v>
      </c>
      <c r="K782" s="2">
        <v>112.6</v>
      </c>
      <c r="L782" s="3">
        <v>167.1</v>
      </c>
    </row>
    <row r="783" spans="1:12" x14ac:dyDescent="0.3">
      <c r="A783">
        <v>782</v>
      </c>
      <c r="B783" t="s">
        <v>827</v>
      </c>
      <c r="C783">
        <v>2022</v>
      </c>
      <c r="D783" t="s">
        <v>27</v>
      </c>
      <c r="E783" t="s">
        <v>18</v>
      </c>
      <c r="F783">
        <v>124</v>
      </c>
      <c r="G783" s="2">
        <v>12.3</v>
      </c>
      <c r="H783" s="2">
        <v>37.299999999999997</v>
      </c>
      <c r="I783" s="2">
        <v>7.7</v>
      </c>
      <c r="J783" t="s">
        <v>19</v>
      </c>
      <c r="K783" s="2">
        <v>25</v>
      </c>
      <c r="L783" s="3">
        <v>203.3</v>
      </c>
    </row>
    <row r="784" spans="1:12" x14ac:dyDescent="0.3">
      <c r="A784">
        <v>783</v>
      </c>
      <c r="B784" t="s">
        <v>828</v>
      </c>
      <c r="C784">
        <v>2003</v>
      </c>
      <c r="D784" t="s">
        <v>45</v>
      </c>
      <c r="E784" t="s">
        <v>22</v>
      </c>
      <c r="F784">
        <v>90</v>
      </c>
      <c r="G784" s="2">
        <v>41.3</v>
      </c>
      <c r="H784" s="2">
        <v>173.2</v>
      </c>
      <c r="I784" s="2">
        <v>6.8</v>
      </c>
      <c r="J784" t="s">
        <v>23</v>
      </c>
      <c r="K784" s="2">
        <v>131.9</v>
      </c>
      <c r="L784" s="3">
        <v>319.39999999999998</v>
      </c>
    </row>
    <row r="785" spans="1:12" x14ac:dyDescent="0.3">
      <c r="A785">
        <v>784</v>
      </c>
      <c r="B785" t="s">
        <v>829</v>
      </c>
      <c r="C785">
        <v>2012</v>
      </c>
      <c r="D785" t="s">
        <v>17</v>
      </c>
      <c r="E785" t="s">
        <v>22</v>
      </c>
      <c r="F785">
        <v>125</v>
      </c>
      <c r="G785" s="2">
        <v>57</v>
      </c>
      <c r="H785" s="2">
        <v>98.4</v>
      </c>
      <c r="I785" s="2">
        <v>7.1</v>
      </c>
      <c r="J785" t="s">
        <v>79</v>
      </c>
      <c r="K785" s="2">
        <v>41.4</v>
      </c>
      <c r="L785" s="3">
        <v>72.599999999999994</v>
      </c>
    </row>
    <row r="786" spans="1:12" x14ac:dyDescent="0.3">
      <c r="A786">
        <v>785</v>
      </c>
      <c r="B786" t="s">
        <v>830</v>
      </c>
      <c r="C786">
        <v>2004</v>
      </c>
      <c r="D786" t="s">
        <v>27</v>
      </c>
      <c r="E786" t="s">
        <v>22</v>
      </c>
      <c r="F786">
        <v>86</v>
      </c>
      <c r="G786" s="2">
        <v>132.4</v>
      </c>
      <c r="H786" s="2">
        <v>119.9</v>
      </c>
      <c r="I786" s="2">
        <v>6.4</v>
      </c>
      <c r="J786" t="s">
        <v>23</v>
      </c>
      <c r="K786" s="2">
        <v>-12.5</v>
      </c>
      <c r="L786" s="3">
        <v>-9.4</v>
      </c>
    </row>
    <row r="787" spans="1:12" x14ac:dyDescent="0.3">
      <c r="A787">
        <v>786</v>
      </c>
      <c r="B787" t="s">
        <v>831</v>
      </c>
      <c r="C787">
        <v>1999</v>
      </c>
      <c r="D787" t="s">
        <v>17</v>
      </c>
      <c r="E787" t="s">
        <v>18</v>
      </c>
      <c r="F787">
        <v>134</v>
      </c>
      <c r="G787" s="2">
        <v>7.7</v>
      </c>
      <c r="H787" s="2">
        <v>16.5</v>
      </c>
      <c r="I787" s="2">
        <v>6.2</v>
      </c>
      <c r="J787" t="s">
        <v>19</v>
      </c>
      <c r="K787" s="2">
        <v>8.8000000000000007</v>
      </c>
      <c r="L787" s="3">
        <v>114.3</v>
      </c>
    </row>
    <row r="788" spans="1:12" x14ac:dyDescent="0.3">
      <c r="A788">
        <v>787</v>
      </c>
      <c r="B788" t="s">
        <v>832</v>
      </c>
      <c r="C788">
        <v>1999</v>
      </c>
      <c r="D788" t="s">
        <v>17</v>
      </c>
      <c r="E788" t="s">
        <v>33</v>
      </c>
      <c r="F788">
        <v>132</v>
      </c>
      <c r="G788" s="2">
        <v>39.6</v>
      </c>
      <c r="H788" s="2">
        <v>48.9</v>
      </c>
      <c r="I788" s="2">
        <v>6.5</v>
      </c>
      <c r="J788" t="s">
        <v>37</v>
      </c>
      <c r="K788" s="2">
        <v>9.3000000000000007</v>
      </c>
      <c r="L788" s="3">
        <v>23.5</v>
      </c>
    </row>
    <row r="789" spans="1:12" x14ac:dyDescent="0.3">
      <c r="A789">
        <v>788</v>
      </c>
      <c r="B789" t="s">
        <v>833</v>
      </c>
      <c r="C789">
        <v>1998</v>
      </c>
      <c r="D789" t="s">
        <v>25</v>
      </c>
      <c r="E789" t="s">
        <v>18</v>
      </c>
      <c r="F789">
        <v>150</v>
      </c>
      <c r="G789" s="2">
        <v>12.9</v>
      </c>
      <c r="H789" s="2">
        <v>43.4</v>
      </c>
      <c r="I789" s="2">
        <v>6.2</v>
      </c>
      <c r="J789" t="s">
        <v>48</v>
      </c>
      <c r="K789" s="2">
        <v>30.5</v>
      </c>
      <c r="L789" s="3">
        <v>236.4</v>
      </c>
    </row>
    <row r="790" spans="1:12" x14ac:dyDescent="0.3">
      <c r="A790">
        <v>789</v>
      </c>
      <c r="B790" t="s">
        <v>834</v>
      </c>
      <c r="C790">
        <v>2015</v>
      </c>
      <c r="D790" t="s">
        <v>27</v>
      </c>
      <c r="E790" t="s">
        <v>22</v>
      </c>
      <c r="F790">
        <v>92</v>
      </c>
      <c r="G790" s="2">
        <v>61</v>
      </c>
      <c r="H790" s="2">
        <v>271.10000000000002</v>
      </c>
      <c r="I790" s="2">
        <v>7.2</v>
      </c>
      <c r="J790" t="s">
        <v>57</v>
      </c>
      <c r="K790" s="2">
        <v>210.1</v>
      </c>
      <c r="L790" s="3">
        <v>344.4</v>
      </c>
    </row>
    <row r="791" spans="1:12" x14ac:dyDescent="0.3">
      <c r="A791">
        <v>790</v>
      </c>
      <c r="B791" t="s">
        <v>835</v>
      </c>
      <c r="C791">
        <v>2019</v>
      </c>
      <c r="D791" t="s">
        <v>13</v>
      </c>
      <c r="E791" t="s">
        <v>22</v>
      </c>
      <c r="F791">
        <v>146</v>
      </c>
      <c r="G791" s="2">
        <v>107.5</v>
      </c>
      <c r="H791" s="2">
        <v>244.6</v>
      </c>
      <c r="I791" s="2">
        <v>8.1999999999999993</v>
      </c>
      <c r="J791" t="s">
        <v>79</v>
      </c>
      <c r="K791" s="2">
        <v>137.1</v>
      </c>
      <c r="L791" s="3">
        <v>127.5</v>
      </c>
    </row>
    <row r="792" spans="1:12" x14ac:dyDescent="0.3">
      <c r="A792">
        <v>791</v>
      </c>
      <c r="B792" t="s">
        <v>836</v>
      </c>
      <c r="C792">
        <v>2020</v>
      </c>
      <c r="D792" t="s">
        <v>13</v>
      </c>
      <c r="E792" t="s">
        <v>30</v>
      </c>
      <c r="F792">
        <v>158</v>
      </c>
      <c r="G792" s="2">
        <v>100.6</v>
      </c>
      <c r="H792" s="2">
        <v>85.7</v>
      </c>
      <c r="I792" s="2">
        <v>7.8</v>
      </c>
      <c r="J792" t="s">
        <v>40</v>
      </c>
      <c r="K792" s="2">
        <v>-14.9</v>
      </c>
      <c r="L792" s="3">
        <v>-14.8</v>
      </c>
    </row>
    <row r="793" spans="1:12" x14ac:dyDescent="0.3">
      <c r="A793">
        <v>792</v>
      </c>
      <c r="B793" t="s">
        <v>837</v>
      </c>
      <c r="C793">
        <v>2004</v>
      </c>
      <c r="D793" t="s">
        <v>36</v>
      </c>
      <c r="E793" t="s">
        <v>22</v>
      </c>
      <c r="F793">
        <v>111</v>
      </c>
      <c r="G793" s="2">
        <v>41.2</v>
      </c>
      <c r="H793" s="2">
        <v>114.2</v>
      </c>
      <c r="I793" s="2">
        <v>8.5</v>
      </c>
      <c r="J793" t="s">
        <v>31</v>
      </c>
      <c r="K793" s="2">
        <v>73</v>
      </c>
      <c r="L793" s="3">
        <v>177.2</v>
      </c>
    </row>
    <row r="794" spans="1:12" x14ac:dyDescent="0.3">
      <c r="A794">
        <v>793</v>
      </c>
      <c r="B794" t="s">
        <v>838</v>
      </c>
      <c r="C794">
        <v>1998</v>
      </c>
      <c r="D794" t="s">
        <v>17</v>
      </c>
      <c r="E794" t="s">
        <v>18</v>
      </c>
      <c r="F794">
        <v>137</v>
      </c>
      <c r="G794" s="2">
        <v>9.8000000000000007</v>
      </c>
      <c r="H794" s="2">
        <v>33.1</v>
      </c>
      <c r="I794" s="2">
        <v>8.1</v>
      </c>
      <c r="J794" t="s">
        <v>68</v>
      </c>
      <c r="K794" s="2">
        <v>23.3</v>
      </c>
      <c r="L794" s="3">
        <v>237.8</v>
      </c>
    </row>
    <row r="795" spans="1:12" x14ac:dyDescent="0.3">
      <c r="A795">
        <v>794</v>
      </c>
      <c r="B795" t="s">
        <v>839</v>
      </c>
      <c r="C795">
        <v>2008</v>
      </c>
      <c r="D795" t="s">
        <v>25</v>
      </c>
      <c r="E795" t="s">
        <v>14</v>
      </c>
      <c r="F795">
        <v>111</v>
      </c>
      <c r="G795" s="2">
        <v>65.400000000000006</v>
      </c>
      <c r="H795" s="2">
        <v>99.6</v>
      </c>
      <c r="I795" s="2">
        <v>5.8</v>
      </c>
      <c r="J795" t="s">
        <v>15</v>
      </c>
      <c r="K795" s="2">
        <v>34.200000000000003</v>
      </c>
      <c r="L795" s="3">
        <v>52.3</v>
      </c>
    </row>
    <row r="796" spans="1:12" x14ac:dyDescent="0.3">
      <c r="A796">
        <v>795</v>
      </c>
      <c r="B796" t="s">
        <v>840</v>
      </c>
      <c r="C796">
        <v>2018</v>
      </c>
      <c r="D796" t="s">
        <v>27</v>
      </c>
      <c r="E796" t="s">
        <v>22</v>
      </c>
      <c r="F796">
        <v>81</v>
      </c>
      <c r="G796" s="2">
        <v>176.8</v>
      </c>
      <c r="H796" s="2">
        <v>550.79999999999995</v>
      </c>
      <c r="I796" s="2">
        <v>8.1999999999999993</v>
      </c>
      <c r="J796" t="s">
        <v>23</v>
      </c>
      <c r="K796" s="2">
        <v>374</v>
      </c>
      <c r="L796" s="3">
        <v>211.5</v>
      </c>
    </row>
    <row r="797" spans="1:12" x14ac:dyDescent="0.3">
      <c r="A797">
        <v>796</v>
      </c>
      <c r="B797" t="s">
        <v>841</v>
      </c>
      <c r="C797">
        <v>2014</v>
      </c>
      <c r="D797" t="s">
        <v>36</v>
      </c>
      <c r="E797" t="s">
        <v>39</v>
      </c>
      <c r="F797">
        <v>176</v>
      </c>
      <c r="G797" s="2">
        <v>34.200000000000003</v>
      </c>
      <c r="H797" s="2">
        <v>74.099999999999994</v>
      </c>
      <c r="I797" s="2">
        <v>6.4</v>
      </c>
      <c r="J797" t="s">
        <v>37</v>
      </c>
      <c r="K797" s="2">
        <v>39.9</v>
      </c>
      <c r="L797" s="3">
        <v>116.7</v>
      </c>
    </row>
    <row r="798" spans="1:12" x14ac:dyDescent="0.3">
      <c r="A798">
        <v>797</v>
      </c>
      <c r="B798" t="s">
        <v>842</v>
      </c>
      <c r="C798">
        <v>2008</v>
      </c>
      <c r="D798" t="s">
        <v>65</v>
      </c>
      <c r="E798" t="s">
        <v>22</v>
      </c>
      <c r="F798">
        <v>122</v>
      </c>
      <c r="G798" s="2">
        <v>15.9</v>
      </c>
      <c r="H798" s="2">
        <v>29.1</v>
      </c>
      <c r="I798" s="2">
        <v>6.7</v>
      </c>
      <c r="J798" t="s">
        <v>79</v>
      </c>
      <c r="K798" s="2">
        <v>13.2</v>
      </c>
      <c r="L798" s="3">
        <v>83</v>
      </c>
    </row>
    <row r="799" spans="1:12" x14ac:dyDescent="0.3">
      <c r="A799">
        <v>798</v>
      </c>
      <c r="B799" t="s">
        <v>843</v>
      </c>
      <c r="C799">
        <v>2013</v>
      </c>
      <c r="D799" t="s">
        <v>53</v>
      </c>
      <c r="E799" t="s">
        <v>18</v>
      </c>
      <c r="F799">
        <v>162</v>
      </c>
      <c r="G799" s="2">
        <v>29.1</v>
      </c>
      <c r="H799" s="2">
        <v>61.8</v>
      </c>
      <c r="I799" s="2">
        <v>8.9</v>
      </c>
      <c r="J799" t="s">
        <v>19</v>
      </c>
      <c r="K799" s="2">
        <v>32.700000000000003</v>
      </c>
      <c r="L799" s="3">
        <v>112.4</v>
      </c>
    </row>
    <row r="800" spans="1:12" x14ac:dyDescent="0.3">
      <c r="A800">
        <v>799</v>
      </c>
      <c r="B800" t="s">
        <v>844</v>
      </c>
      <c r="C800">
        <v>1996</v>
      </c>
      <c r="D800" t="s">
        <v>53</v>
      </c>
      <c r="E800" t="s">
        <v>18</v>
      </c>
      <c r="F800">
        <v>137</v>
      </c>
      <c r="G800" s="2">
        <v>12.4</v>
      </c>
      <c r="H800" s="2">
        <v>12.1</v>
      </c>
      <c r="I800" s="2">
        <v>7.2</v>
      </c>
      <c r="J800" t="s">
        <v>59</v>
      </c>
      <c r="K800" s="2">
        <v>-0.3</v>
      </c>
      <c r="L800" s="3">
        <v>-2.4</v>
      </c>
    </row>
    <row r="801" spans="1:12" x14ac:dyDescent="0.3">
      <c r="A801">
        <v>800</v>
      </c>
      <c r="B801" t="s">
        <v>845</v>
      </c>
      <c r="C801">
        <v>2007</v>
      </c>
      <c r="D801" t="s">
        <v>17</v>
      </c>
      <c r="E801" t="s">
        <v>22</v>
      </c>
      <c r="F801">
        <v>153</v>
      </c>
      <c r="G801" s="2">
        <v>67.900000000000006</v>
      </c>
      <c r="H801" s="2">
        <v>144.30000000000001</v>
      </c>
      <c r="I801" s="2">
        <v>6.6</v>
      </c>
      <c r="J801" t="s">
        <v>37</v>
      </c>
      <c r="K801" s="2">
        <v>76.400000000000006</v>
      </c>
      <c r="L801" s="3">
        <v>112.5</v>
      </c>
    </row>
    <row r="802" spans="1:12" x14ac:dyDescent="0.3">
      <c r="A802">
        <v>801</v>
      </c>
      <c r="B802" t="s">
        <v>846</v>
      </c>
      <c r="C802">
        <v>1992</v>
      </c>
      <c r="D802" t="s">
        <v>45</v>
      </c>
      <c r="E802" t="s">
        <v>22</v>
      </c>
      <c r="F802">
        <v>157</v>
      </c>
      <c r="G802" s="2">
        <v>53.3</v>
      </c>
      <c r="H802" s="2">
        <v>219.5</v>
      </c>
      <c r="I802" s="2">
        <v>7.2</v>
      </c>
      <c r="J802" t="s">
        <v>91</v>
      </c>
      <c r="K802" s="2">
        <v>166.2</v>
      </c>
      <c r="L802" s="3">
        <v>311.8</v>
      </c>
    </row>
    <row r="803" spans="1:12" x14ac:dyDescent="0.3">
      <c r="A803">
        <v>802</v>
      </c>
      <c r="B803" t="s">
        <v>847</v>
      </c>
      <c r="C803">
        <v>2016</v>
      </c>
      <c r="D803" t="s">
        <v>47</v>
      </c>
      <c r="E803" t="s">
        <v>22</v>
      </c>
      <c r="F803">
        <v>99</v>
      </c>
      <c r="G803" s="2">
        <v>58.8</v>
      </c>
      <c r="H803" s="2">
        <v>305.89999999999998</v>
      </c>
      <c r="I803" s="2">
        <v>7.2</v>
      </c>
      <c r="J803" t="s">
        <v>31</v>
      </c>
      <c r="K803" s="2">
        <v>247.1</v>
      </c>
      <c r="L803" s="3">
        <v>420.2</v>
      </c>
    </row>
    <row r="804" spans="1:12" x14ac:dyDescent="0.3">
      <c r="A804">
        <v>803</v>
      </c>
      <c r="B804" t="s">
        <v>848</v>
      </c>
      <c r="C804">
        <v>2018</v>
      </c>
      <c r="D804" t="s">
        <v>27</v>
      </c>
      <c r="E804" t="s">
        <v>39</v>
      </c>
      <c r="F804">
        <v>88</v>
      </c>
      <c r="G804" s="2">
        <v>40.799999999999997</v>
      </c>
      <c r="H804" s="2">
        <v>231.1</v>
      </c>
      <c r="I804" s="2">
        <v>6.5</v>
      </c>
      <c r="J804" t="s">
        <v>79</v>
      </c>
      <c r="K804" s="2">
        <v>190.3</v>
      </c>
      <c r="L804" s="3">
        <v>466.4</v>
      </c>
    </row>
    <row r="805" spans="1:12" x14ac:dyDescent="0.3">
      <c r="A805">
        <v>804</v>
      </c>
      <c r="B805" t="s">
        <v>849</v>
      </c>
      <c r="C805">
        <v>1990</v>
      </c>
      <c r="D805" t="s">
        <v>45</v>
      </c>
      <c r="E805" t="s">
        <v>22</v>
      </c>
      <c r="F805">
        <v>152</v>
      </c>
      <c r="G805" s="2">
        <v>52.4</v>
      </c>
      <c r="H805" s="2">
        <v>33.9</v>
      </c>
      <c r="I805" s="2">
        <v>7.3</v>
      </c>
      <c r="J805" t="s">
        <v>28</v>
      </c>
      <c r="K805" s="2">
        <v>-18.5</v>
      </c>
      <c r="L805" s="3">
        <v>-35.299999999999997</v>
      </c>
    </row>
    <row r="806" spans="1:12" x14ac:dyDescent="0.3">
      <c r="A806">
        <v>805</v>
      </c>
      <c r="B806" t="s">
        <v>850</v>
      </c>
      <c r="C806">
        <v>2003</v>
      </c>
      <c r="D806" t="s">
        <v>27</v>
      </c>
      <c r="E806" t="s">
        <v>18</v>
      </c>
      <c r="F806">
        <v>130</v>
      </c>
      <c r="G806" s="2">
        <v>7.9</v>
      </c>
      <c r="H806" s="2">
        <v>16.2</v>
      </c>
      <c r="I806" s="2">
        <v>6.7</v>
      </c>
      <c r="J806" t="s">
        <v>75</v>
      </c>
      <c r="K806" s="2">
        <v>8.3000000000000007</v>
      </c>
      <c r="L806" s="3">
        <v>105.1</v>
      </c>
    </row>
    <row r="807" spans="1:12" x14ac:dyDescent="0.3">
      <c r="A807">
        <v>806</v>
      </c>
      <c r="B807" t="s">
        <v>851</v>
      </c>
      <c r="C807">
        <v>2002</v>
      </c>
      <c r="D807" t="s">
        <v>25</v>
      </c>
      <c r="E807" t="s">
        <v>18</v>
      </c>
      <c r="F807">
        <v>128</v>
      </c>
      <c r="G807" s="2">
        <v>3.2</v>
      </c>
      <c r="H807" s="2">
        <v>11.5</v>
      </c>
      <c r="I807" s="2">
        <v>7.4</v>
      </c>
      <c r="J807" t="s">
        <v>19</v>
      </c>
      <c r="K807" s="2">
        <v>8.3000000000000007</v>
      </c>
      <c r="L807" s="3">
        <v>259.39999999999998</v>
      </c>
    </row>
    <row r="808" spans="1:12" x14ac:dyDescent="0.3">
      <c r="A808">
        <v>807</v>
      </c>
      <c r="B808" t="s">
        <v>852</v>
      </c>
      <c r="C808">
        <v>1990</v>
      </c>
      <c r="D808" t="s">
        <v>65</v>
      </c>
      <c r="E808" t="s">
        <v>18</v>
      </c>
      <c r="F808">
        <v>93</v>
      </c>
      <c r="G808" s="2">
        <v>11.8</v>
      </c>
      <c r="H808" s="2">
        <v>31.3</v>
      </c>
      <c r="I808" s="2">
        <v>7.1</v>
      </c>
      <c r="J808" t="s">
        <v>19</v>
      </c>
      <c r="K808" s="2">
        <v>19.5</v>
      </c>
      <c r="L808" s="3">
        <v>165.3</v>
      </c>
    </row>
    <row r="809" spans="1:12" x14ac:dyDescent="0.3">
      <c r="A809">
        <v>808</v>
      </c>
      <c r="B809" t="s">
        <v>853</v>
      </c>
      <c r="C809">
        <v>2018</v>
      </c>
      <c r="D809" t="s">
        <v>21</v>
      </c>
      <c r="E809" t="s">
        <v>30</v>
      </c>
      <c r="F809">
        <v>94</v>
      </c>
      <c r="G809" s="2">
        <v>198.3</v>
      </c>
      <c r="H809" s="2">
        <v>159.9</v>
      </c>
      <c r="I809" s="2">
        <v>6.1</v>
      </c>
      <c r="J809" t="s">
        <v>31</v>
      </c>
      <c r="K809" s="2">
        <v>-38.4</v>
      </c>
      <c r="L809" s="3">
        <v>-19.399999999999999</v>
      </c>
    </row>
    <row r="810" spans="1:12" x14ac:dyDescent="0.3">
      <c r="A810">
        <v>809</v>
      </c>
      <c r="B810" t="s">
        <v>854</v>
      </c>
      <c r="C810">
        <v>1992</v>
      </c>
      <c r="D810" t="s">
        <v>45</v>
      </c>
      <c r="E810" t="s">
        <v>22</v>
      </c>
      <c r="F810">
        <v>77</v>
      </c>
      <c r="G810" s="2">
        <v>78.8</v>
      </c>
      <c r="H810" s="2">
        <v>151.19999999999999</v>
      </c>
      <c r="I810" s="2">
        <v>7.2</v>
      </c>
      <c r="J810" t="s">
        <v>57</v>
      </c>
      <c r="K810" s="2">
        <v>72.400000000000006</v>
      </c>
      <c r="L810" s="3">
        <v>91.9</v>
      </c>
    </row>
    <row r="811" spans="1:12" x14ac:dyDescent="0.3">
      <c r="A811">
        <v>810</v>
      </c>
      <c r="B811" t="s">
        <v>855</v>
      </c>
      <c r="C811">
        <v>1990</v>
      </c>
      <c r="D811" t="s">
        <v>65</v>
      </c>
      <c r="E811" t="s">
        <v>18</v>
      </c>
      <c r="F811">
        <v>117</v>
      </c>
      <c r="G811" s="2">
        <v>4.5</v>
      </c>
      <c r="H811" s="2">
        <v>10.199999999999999</v>
      </c>
      <c r="I811" s="2">
        <v>6.7</v>
      </c>
      <c r="J811" t="s">
        <v>19</v>
      </c>
      <c r="K811" s="2">
        <v>5.7</v>
      </c>
      <c r="L811" s="3">
        <v>126.7</v>
      </c>
    </row>
    <row r="812" spans="1:12" x14ac:dyDescent="0.3">
      <c r="A812">
        <v>811</v>
      </c>
      <c r="B812" t="s">
        <v>856</v>
      </c>
      <c r="C812">
        <v>2011</v>
      </c>
      <c r="D812" t="s">
        <v>13</v>
      </c>
      <c r="E812" t="s">
        <v>18</v>
      </c>
      <c r="F812">
        <v>125</v>
      </c>
      <c r="G812" s="2">
        <v>5</v>
      </c>
      <c r="H812" s="2">
        <v>13.7</v>
      </c>
      <c r="I812" s="2">
        <v>6.3</v>
      </c>
      <c r="J812" t="s">
        <v>19</v>
      </c>
      <c r="K812" s="2">
        <v>8.6999999999999993</v>
      </c>
      <c r="L812" s="3">
        <v>174</v>
      </c>
    </row>
    <row r="813" spans="1:12" x14ac:dyDescent="0.3">
      <c r="A813">
        <v>812</v>
      </c>
      <c r="B813" t="s">
        <v>857</v>
      </c>
      <c r="C813">
        <v>2000</v>
      </c>
      <c r="D813" t="s">
        <v>13</v>
      </c>
      <c r="E813" t="s">
        <v>22</v>
      </c>
      <c r="F813">
        <v>78</v>
      </c>
      <c r="G813" s="2">
        <v>147.9</v>
      </c>
      <c r="H813" s="2">
        <v>385.2</v>
      </c>
      <c r="I813" s="2">
        <v>7.7</v>
      </c>
      <c r="J813" t="s">
        <v>51</v>
      </c>
      <c r="K813" s="2">
        <v>237.3</v>
      </c>
      <c r="L813" s="3">
        <v>160.4</v>
      </c>
    </row>
    <row r="814" spans="1:12" x14ac:dyDescent="0.3">
      <c r="A814">
        <v>813</v>
      </c>
      <c r="B814" t="s">
        <v>858</v>
      </c>
      <c r="C814">
        <v>2024</v>
      </c>
      <c r="D814" t="s">
        <v>27</v>
      </c>
      <c r="E814" t="s">
        <v>22</v>
      </c>
      <c r="F814">
        <v>130</v>
      </c>
      <c r="G814" s="2">
        <v>43.6</v>
      </c>
      <c r="H814" s="2">
        <v>60.4</v>
      </c>
      <c r="I814" s="2">
        <v>8</v>
      </c>
      <c r="J814" t="s">
        <v>79</v>
      </c>
      <c r="K814" s="2">
        <v>16.8</v>
      </c>
      <c r="L814" s="3">
        <v>38.5</v>
      </c>
    </row>
    <row r="815" spans="1:12" x14ac:dyDescent="0.3">
      <c r="A815">
        <v>814</v>
      </c>
      <c r="B815" t="s">
        <v>859</v>
      </c>
      <c r="C815">
        <v>2017</v>
      </c>
      <c r="D815" t="s">
        <v>27</v>
      </c>
      <c r="E815" t="s">
        <v>22</v>
      </c>
      <c r="F815">
        <v>150</v>
      </c>
      <c r="G815" s="2">
        <v>103.7</v>
      </c>
      <c r="H815" s="2">
        <v>131.5</v>
      </c>
      <c r="I815" s="2">
        <v>6.4</v>
      </c>
      <c r="J815" t="s">
        <v>40</v>
      </c>
      <c r="K815" s="2">
        <v>27.8</v>
      </c>
      <c r="L815" s="3">
        <v>26.8</v>
      </c>
    </row>
    <row r="816" spans="1:12" x14ac:dyDescent="0.3">
      <c r="A816">
        <v>815</v>
      </c>
      <c r="B816" t="s">
        <v>860</v>
      </c>
      <c r="C816">
        <v>1998</v>
      </c>
      <c r="D816" t="s">
        <v>17</v>
      </c>
      <c r="E816" t="s">
        <v>22</v>
      </c>
      <c r="F816">
        <v>77</v>
      </c>
      <c r="G816" s="2">
        <v>74.400000000000006</v>
      </c>
      <c r="H816" s="2">
        <v>189.1</v>
      </c>
      <c r="I816" s="2">
        <v>6.2</v>
      </c>
      <c r="J816" t="s">
        <v>34</v>
      </c>
      <c r="K816" s="2">
        <v>114.7</v>
      </c>
      <c r="L816" s="3">
        <v>154.19999999999999</v>
      </c>
    </row>
    <row r="817" spans="1:12" x14ac:dyDescent="0.3">
      <c r="A817">
        <v>816</v>
      </c>
      <c r="B817" t="s">
        <v>861</v>
      </c>
      <c r="C817">
        <v>2013</v>
      </c>
      <c r="D817" t="s">
        <v>17</v>
      </c>
      <c r="E817" t="s">
        <v>22</v>
      </c>
      <c r="F817">
        <v>102</v>
      </c>
      <c r="G817" s="2">
        <v>153.5</v>
      </c>
      <c r="H817" s="2">
        <v>450.4</v>
      </c>
      <c r="I817" s="2">
        <v>8.1</v>
      </c>
      <c r="J817" t="s">
        <v>23</v>
      </c>
      <c r="K817" s="2">
        <v>296.89999999999998</v>
      </c>
      <c r="L817" s="3">
        <v>193.4</v>
      </c>
    </row>
    <row r="818" spans="1:12" x14ac:dyDescent="0.3">
      <c r="A818">
        <v>817</v>
      </c>
      <c r="B818" t="s">
        <v>862</v>
      </c>
      <c r="C818">
        <v>2011</v>
      </c>
      <c r="D818" t="s">
        <v>21</v>
      </c>
      <c r="E818" t="s">
        <v>39</v>
      </c>
      <c r="F818">
        <v>157</v>
      </c>
      <c r="G818" s="2">
        <v>33.4</v>
      </c>
      <c r="H818" s="2">
        <v>28.3</v>
      </c>
      <c r="I818" s="2">
        <v>7.4</v>
      </c>
      <c r="J818" t="s">
        <v>57</v>
      </c>
      <c r="K818" s="2">
        <v>-5.0999999999999996</v>
      </c>
      <c r="L818" s="3">
        <v>-15.3</v>
      </c>
    </row>
    <row r="819" spans="1:12" x14ac:dyDescent="0.3">
      <c r="A819">
        <v>818</v>
      </c>
      <c r="B819" t="s">
        <v>863</v>
      </c>
      <c r="C819">
        <v>2003</v>
      </c>
      <c r="D819" t="s">
        <v>13</v>
      </c>
      <c r="E819" t="s">
        <v>22</v>
      </c>
      <c r="F819">
        <v>93</v>
      </c>
      <c r="G819" s="2">
        <v>28.1</v>
      </c>
      <c r="H819" s="2">
        <v>80.7</v>
      </c>
      <c r="I819" s="2">
        <v>8.1</v>
      </c>
      <c r="J819" t="s">
        <v>23</v>
      </c>
      <c r="K819" s="2">
        <v>52.6</v>
      </c>
      <c r="L819" s="3">
        <v>187.2</v>
      </c>
    </row>
    <row r="820" spans="1:12" x14ac:dyDescent="0.3">
      <c r="A820">
        <v>819</v>
      </c>
      <c r="B820" t="s">
        <v>864</v>
      </c>
      <c r="C820">
        <v>2001</v>
      </c>
      <c r="D820" t="s">
        <v>17</v>
      </c>
      <c r="E820" t="s">
        <v>22</v>
      </c>
      <c r="F820">
        <v>135</v>
      </c>
      <c r="G820" s="2">
        <v>400</v>
      </c>
      <c r="H820" s="2">
        <v>1161.5</v>
      </c>
      <c r="I820" s="2">
        <v>6.6</v>
      </c>
      <c r="J820" t="s">
        <v>40</v>
      </c>
      <c r="K820" s="2">
        <v>761.5</v>
      </c>
      <c r="L820" s="3">
        <v>190.4</v>
      </c>
    </row>
    <row r="821" spans="1:12" x14ac:dyDescent="0.3">
      <c r="A821">
        <v>820</v>
      </c>
      <c r="B821" t="s">
        <v>865</v>
      </c>
      <c r="C821">
        <v>2015</v>
      </c>
      <c r="D821" t="s">
        <v>27</v>
      </c>
      <c r="E821" t="s">
        <v>22</v>
      </c>
      <c r="F821">
        <v>119</v>
      </c>
      <c r="G821" s="2">
        <v>62.2</v>
      </c>
      <c r="H821" s="2">
        <v>207.5</v>
      </c>
      <c r="I821" s="2">
        <v>8.3000000000000007</v>
      </c>
      <c r="J821" t="s">
        <v>57</v>
      </c>
      <c r="K821" s="2">
        <v>145.30000000000001</v>
      </c>
      <c r="L821" s="3">
        <v>233.6</v>
      </c>
    </row>
    <row r="822" spans="1:12" x14ac:dyDescent="0.3">
      <c r="A822">
        <v>821</v>
      </c>
      <c r="B822" t="s">
        <v>866</v>
      </c>
      <c r="C822">
        <v>1992</v>
      </c>
      <c r="D822" t="s">
        <v>13</v>
      </c>
      <c r="E822" t="s">
        <v>22</v>
      </c>
      <c r="F822">
        <v>99</v>
      </c>
      <c r="G822" s="2">
        <v>313</v>
      </c>
      <c r="H822" s="2">
        <v>368.6</v>
      </c>
      <c r="I822" s="2">
        <v>6.2</v>
      </c>
      <c r="J822" t="s">
        <v>79</v>
      </c>
      <c r="K822" s="2">
        <v>55.6</v>
      </c>
      <c r="L822" s="3">
        <v>17.8</v>
      </c>
    </row>
    <row r="823" spans="1:12" x14ac:dyDescent="0.3">
      <c r="A823">
        <v>822</v>
      </c>
      <c r="B823" t="s">
        <v>867</v>
      </c>
      <c r="C823">
        <v>1993</v>
      </c>
      <c r="D823" t="s">
        <v>17</v>
      </c>
      <c r="E823" t="s">
        <v>18</v>
      </c>
      <c r="F823">
        <v>135</v>
      </c>
      <c r="G823" s="2">
        <v>4.7</v>
      </c>
      <c r="H823" s="2">
        <v>9.6</v>
      </c>
      <c r="I823" s="2">
        <v>8</v>
      </c>
      <c r="J823" t="s">
        <v>75</v>
      </c>
      <c r="K823" s="2">
        <v>4.9000000000000004</v>
      </c>
      <c r="L823" s="3">
        <v>104.3</v>
      </c>
    </row>
    <row r="824" spans="1:12" x14ac:dyDescent="0.3">
      <c r="A824">
        <v>823</v>
      </c>
      <c r="B824" t="s">
        <v>868</v>
      </c>
      <c r="C824">
        <v>2020</v>
      </c>
      <c r="D824" t="s">
        <v>47</v>
      </c>
      <c r="E824" t="s">
        <v>18</v>
      </c>
      <c r="F824">
        <v>106</v>
      </c>
      <c r="G824" s="2">
        <v>6</v>
      </c>
      <c r="H824" s="2">
        <v>5.4</v>
      </c>
      <c r="I824" s="2">
        <v>6.5</v>
      </c>
      <c r="J824" t="s">
        <v>59</v>
      </c>
      <c r="K824" s="2">
        <v>-0.6</v>
      </c>
      <c r="L824" s="3">
        <v>-10</v>
      </c>
    </row>
    <row r="825" spans="1:12" x14ac:dyDescent="0.3">
      <c r="A825">
        <v>824</v>
      </c>
      <c r="B825" t="s">
        <v>869</v>
      </c>
      <c r="C825">
        <v>2003</v>
      </c>
      <c r="D825" t="s">
        <v>36</v>
      </c>
      <c r="E825" t="s">
        <v>33</v>
      </c>
      <c r="F825">
        <v>130</v>
      </c>
      <c r="G825" s="2">
        <v>117</v>
      </c>
      <c r="H825" s="2">
        <v>102.8</v>
      </c>
      <c r="I825" s="2">
        <v>6</v>
      </c>
      <c r="J825" t="s">
        <v>91</v>
      </c>
      <c r="K825" s="2">
        <v>-14.2</v>
      </c>
      <c r="L825" s="3">
        <v>-12.1</v>
      </c>
    </row>
    <row r="826" spans="1:12" x14ac:dyDescent="0.3">
      <c r="A826">
        <v>825</v>
      </c>
      <c r="B826" t="s">
        <v>870</v>
      </c>
      <c r="C826">
        <v>2010</v>
      </c>
      <c r="D826" t="s">
        <v>53</v>
      </c>
      <c r="E826" t="s">
        <v>22</v>
      </c>
      <c r="F826">
        <v>149</v>
      </c>
      <c r="G826" s="2">
        <v>79.900000000000006</v>
      </c>
      <c r="H826" s="2">
        <v>301.7</v>
      </c>
      <c r="I826" s="2">
        <v>5.8</v>
      </c>
      <c r="J826" t="s">
        <v>51</v>
      </c>
      <c r="K826" s="2">
        <v>221.8</v>
      </c>
      <c r="L826" s="3">
        <v>277.60000000000002</v>
      </c>
    </row>
    <row r="827" spans="1:12" x14ac:dyDescent="0.3">
      <c r="A827">
        <v>826</v>
      </c>
      <c r="B827" t="s">
        <v>871</v>
      </c>
      <c r="C827">
        <v>2008</v>
      </c>
      <c r="D827" t="s">
        <v>21</v>
      </c>
      <c r="E827" t="s">
        <v>39</v>
      </c>
      <c r="F827">
        <v>166</v>
      </c>
      <c r="G827" s="2">
        <v>148.4</v>
      </c>
      <c r="H827" s="2">
        <v>544.79999999999995</v>
      </c>
      <c r="I827" s="2">
        <v>6.8</v>
      </c>
      <c r="J827" t="s">
        <v>57</v>
      </c>
      <c r="K827" s="2">
        <v>396.4</v>
      </c>
      <c r="L827" s="3">
        <v>267.10000000000002</v>
      </c>
    </row>
    <row r="828" spans="1:12" x14ac:dyDescent="0.3">
      <c r="A828">
        <v>827</v>
      </c>
      <c r="B828" t="s">
        <v>872</v>
      </c>
      <c r="C828">
        <v>2022</v>
      </c>
      <c r="D828" t="s">
        <v>65</v>
      </c>
      <c r="E828" t="s">
        <v>22</v>
      </c>
      <c r="F828">
        <v>167</v>
      </c>
      <c r="G828" s="2">
        <v>110.2</v>
      </c>
      <c r="H828" s="2">
        <v>346</v>
      </c>
      <c r="I828" s="2">
        <v>7.2</v>
      </c>
      <c r="J828" t="s">
        <v>91</v>
      </c>
      <c r="K828" s="2">
        <v>235.8</v>
      </c>
      <c r="L828" s="3">
        <v>214</v>
      </c>
    </row>
    <row r="829" spans="1:12" x14ac:dyDescent="0.3">
      <c r="A829">
        <v>828</v>
      </c>
      <c r="B829" t="s">
        <v>873</v>
      </c>
      <c r="C829">
        <v>2002</v>
      </c>
      <c r="D829" t="s">
        <v>27</v>
      </c>
      <c r="E829" t="s">
        <v>22</v>
      </c>
      <c r="F829">
        <v>96</v>
      </c>
      <c r="G829" s="2">
        <v>48.4</v>
      </c>
      <c r="H829" s="2">
        <v>205.9</v>
      </c>
      <c r="I829" s="2">
        <v>7.3</v>
      </c>
      <c r="J829" t="s">
        <v>34</v>
      </c>
      <c r="K829" s="2">
        <v>157.5</v>
      </c>
      <c r="L829" s="3">
        <v>325.39999999999998</v>
      </c>
    </row>
    <row r="830" spans="1:12" x14ac:dyDescent="0.3">
      <c r="A830">
        <v>829</v>
      </c>
      <c r="B830" t="s">
        <v>874</v>
      </c>
      <c r="C830">
        <v>2002</v>
      </c>
      <c r="D830" t="s">
        <v>45</v>
      </c>
      <c r="E830" t="s">
        <v>22</v>
      </c>
      <c r="F830">
        <v>102</v>
      </c>
      <c r="G830" s="2">
        <v>96.3</v>
      </c>
      <c r="H830" s="2">
        <v>149.30000000000001</v>
      </c>
      <c r="I830" s="2">
        <v>7.5</v>
      </c>
      <c r="J830" t="s">
        <v>40</v>
      </c>
      <c r="K830" s="2">
        <v>53</v>
      </c>
      <c r="L830" s="3">
        <v>55</v>
      </c>
    </row>
    <row r="831" spans="1:12" x14ac:dyDescent="0.3">
      <c r="A831">
        <v>830</v>
      </c>
      <c r="B831" t="s">
        <v>875</v>
      </c>
      <c r="C831">
        <v>2022</v>
      </c>
      <c r="D831" t="s">
        <v>47</v>
      </c>
      <c r="E831" t="s">
        <v>22</v>
      </c>
      <c r="F831">
        <v>91</v>
      </c>
      <c r="G831" s="2">
        <v>73.900000000000006</v>
      </c>
      <c r="H831" s="2">
        <v>453.3</v>
      </c>
      <c r="I831" s="2">
        <v>4.8</v>
      </c>
      <c r="J831" t="s">
        <v>51</v>
      </c>
      <c r="K831" s="2">
        <v>379.4</v>
      </c>
      <c r="L831" s="3">
        <v>513.4</v>
      </c>
    </row>
    <row r="832" spans="1:12" x14ac:dyDescent="0.3">
      <c r="A832">
        <v>831</v>
      </c>
      <c r="B832" t="s">
        <v>876</v>
      </c>
      <c r="C832">
        <v>1994</v>
      </c>
      <c r="D832" t="s">
        <v>36</v>
      </c>
      <c r="E832" t="s">
        <v>22</v>
      </c>
      <c r="F832">
        <v>81</v>
      </c>
      <c r="G832" s="2">
        <v>34.1</v>
      </c>
      <c r="H832" s="2">
        <v>91.7</v>
      </c>
      <c r="I832" s="2">
        <v>7.3</v>
      </c>
      <c r="J832" t="s">
        <v>57</v>
      </c>
      <c r="K832" s="2">
        <v>57.6</v>
      </c>
      <c r="L832" s="3">
        <v>168.9</v>
      </c>
    </row>
    <row r="833" spans="1:12" x14ac:dyDescent="0.3">
      <c r="A833">
        <v>832</v>
      </c>
      <c r="B833" t="s">
        <v>877</v>
      </c>
      <c r="C833">
        <v>2020</v>
      </c>
      <c r="D833" t="s">
        <v>65</v>
      </c>
      <c r="E833" t="s">
        <v>22</v>
      </c>
      <c r="F833">
        <v>102</v>
      </c>
      <c r="G833" s="2">
        <v>39.4</v>
      </c>
      <c r="H833" s="2">
        <v>107.2</v>
      </c>
      <c r="I833" s="2">
        <v>8.1</v>
      </c>
      <c r="J833" t="s">
        <v>79</v>
      </c>
      <c r="K833" s="2">
        <v>67.8</v>
      </c>
      <c r="L833" s="3">
        <v>172.1</v>
      </c>
    </row>
    <row r="834" spans="1:12" x14ac:dyDescent="0.3">
      <c r="A834">
        <v>833</v>
      </c>
      <c r="B834" t="s">
        <v>878</v>
      </c>
      <c r="C834">
        <v>2005</v>
      </c>
      <c r="D834" t="s">
        <v>45</v>
      </c>
      <c r="E834" t="s">
        <v>22</v>
      </c>
      <c r="F834">
        <v>101</v>
      </c>
      <c r="G834" s="2">
        <v>132.19999999999999</v>
      </c>
      <c r="H834" s="2">
        <v>512.4</v>
      </c>
      <c r="I834" s="2">
        <v>5.6</v>
      </c>
      <c r="J834" t="s">
        <v>23</v>
      </c>
      <c r="K834" s="2">
        <v>380.2</v>
      </c>
      <c r="L834" s="3">
        <v>287.60000000000002</v>
      </c>
    </row>
    <row r="835" spans="1:12" x14ac:dyDescent="0.3">
      <c r="A835">
        <v>834</v>
      </c>
      <c r="B835" t="s">
        <v>879</v>
      </c>
      <c r="C835">
        <v>2010</v>
      </c>
      <c r="D835" t="s">
        <v>25</v>
      </c>
      <c r="E835" t="s">
        <v>22</v>
      </c>
      <c r="F835">
        <v>111</v>
      </c>
      <c r="G835" s="2">
        <v>94.1</v>
      </c>
      <c r="H835" s="2">
        <v>383.1</v>
      </c>
      <c r="I835" s="2">
        <v>7.9</v>
      </c>
      <c r="J835" t="s">
        <v>57</v>
      </c>
      <c r="K835" s="2">
        <v>289</v>
      </c>
      <c r="L835" s="3">
        <v>307.10000000000002</v>
      </c>
    </row>
    <row r="836" spans="1:12" x14ac:dyDescent="0.3">
      <c r="A836">
        <v>835</v>
      </c>
      <c r="B836" t="s">
        <v>880</v>
      </c>
      <c r="C836">
        <v>2009</v>
      </c>
      <c r="D836" t="s">
        <v>47</v>
      </c>
      <c r="E836" t="s">
        <v>18</v>
      </c>
      <c r="F836">
        <v>128</v>
      </c>
      <c r="G836" s="2">
        <v>7.4</v>
      </c>
      <c r="H836" s="2">
        <v>34.6</v>
      </c>
      <c r="I836" s="2">
        <v>6.5</v>
      </c>
      <c r="J836" t="s">
        <v>19</v>
      </c>
      <c r="K836" s="2">
        <v>27.2</v>
      </c>
      <c r="L836" s="3">
        <v>367.6</v>
      </c>
    </row>
    <row r="837" spans="1:12" x14ac:dyDescent="0.3">
      <c r="A837">
        <v>836</v>
      </c>
      <c r="B837" t="s">
        <v>881</v>
      </c>
      <c r="C837">
        <v>2019</v>
      </c>
      <c r="D837" t="s">
        <v>17</v>
      </c>
      <c r="E837" t="s">
        <v>22</v>
      </c>
      <c r="F837">
        <v>145</v>
      </c>
      <c r="G837" s="2">
        <v>238.7</v>
      </c>
      <c r="H837" s="2">
        <v>656.7</v>
      </c>
      <c r="I837" s="2">
        <v>6.2</v>
      </c>
      <c r="J837" t="s">
        <v>34</v>
      </c>
      <c r="K837" s="2">
        <v>418</v>
      </c>
      <c r="L837" s="3">
        <v>175.1</v>
      </c>
    </row>
    <row r="838" spans="1:12" x14ac:dyDescent="0.3">
      <c r="A838">
        <v>837</v>
      </c>
      <c r="B838" t="s">
        <v>882</v>
      </c>
      <c r="C838">
        <v>2020</v>
      </c>
      <c r="D838" t="s">
        <v>13</v>
      </c>
      <c r="E838" t="s">
        <v>18</v>
      </c>
      <c r="F838">
        <v>159</v>
      </c>
      <c r="G838" s="2">
        <v>13.2</v>
      </c>
      <c r="H838" s="2">
        <v>32.6</v>
      </c>
      <c r="I838" s="2">
        <v>6.4</v>
      </c>
      <c r="J838" t="s">
        <v>68</v>
      </c>
      <c r="K838" s="2">
        <v>19.399999999999999</v>
      </c>
      <c r="L838" s="3">
        <v>147</v>
      </c>
    </row>
    <row r="839" spans="1:12" x14ac:dyDescent="0.3">
      <c r="A839">
        <v>838</v>
      </c>
      <c r="B839" t="s">
        <v>883</v>
      </c>
      <c r="C839">
        <v>2022</v>
      </c>
      <c r="D839" t="s">
        <v>65</v>
      </c>
      <c r="E839" t="s">
        <v>22</v>
      </c>
      <c r="F839">
        <v>133</v>
      </c>
      <c r="G839" s="2">
        <v>43.8</v>
      </c>
      <c r="H839" s="2">
        <v>120.9</v>
      </c>
      <c r="I839" s="2">
        <v>7.8</v>
      </c>
      <c r="J839" t="s">
        <v>28</v>
      </c>
      <c r="K839" s="2">
        <v>77.099999999999994</v>
      </c>
      <c r="L839" s="3">
        <v>176</v>
      </c>
    </row>
    <row r="840" spans="1:12" x14ac:dyDescent="0.3">
      <c r="A840">
        <v>839</v>
      </c>
      <c r="B840" t="s">
        <v>884</v>
      </c>
      <c r="C840">
        <v>2023</v>
      </c>
      <c r="D840" t="s">
        <v>65</v>
      </c>
      <c r="E840" t="s">
        <v>22</v>
      </c>
      <c r="F840">
        <v>132</v>
      </c>
      <c r="G840" s="2">
        <v>26.4</v>
      </c>
      <c r="H840" s="2">
        <v>71.3</v>
      </c>
      <c r="I840" s="2">
        <v>7.3</v>
      </c>
      <c r="J840" t="s">
        <v>57</v>
      </c>
      <c r="K840" s="2">
        <v>44.9</v>
      </c>
      <c r="L840" s="3">
        <v>170.1</v>
      </c>
    </row>
    <row r="841" spans="1:12" x14ac:dyDescent="0.3">
      <c r="A841">
        <v>840</v>
      </c>
      <c r="B841" t="s">
        <v>885</v>
      </c>
      <c r="C841">
        <v>2008</v>
      </c>
      <c r="D841" t="s">
        <v>65</v>
      </c>
      <c r="E841" t="s">
        <v>22</v>
      </c>
      <c r="F841">
        <v>137</v>
      </c>
      <c r="G841" s="2">
        <v>60.4</v>
      </c>
      <c r="H841" s="2">
        <v>100</v>
      </c>
      <c r="I841" s="2">
        <v>8.8000000000000007</v>
      </c>
      <c r="J841" t="s">
        <v>91</v>
      </c>
      <c r="K841" s="2">
        <v>39.6</v>
      </c>
      <c r="L841" s="3">
        <v>65.599999999999994</v>
      </c>
    </row>
    <row r="842" spans="1:12" x14ac:dyDescent="0.3">
      <c r="A842">
        <v>841</v>
      </c>
      <c r="B842" t="s">
        <v>886</v>
      </c>
      <c r="C842">
        <v>2005</v>
      </c>
      <c r="D842" t="s">
        <v>36</v>
      </c>
      <c r="E842" t="s">
        <v>22</v>
      </c>
      <c r="F842">
        <v>141</v>
      </c>
      <c r="G842" s="2">
        <v>61.1</v>
      </c>
      <c r="H842" s="2">
        <v>38.299999999999997</v>
      </c>
      <c r="I842" s="2">
        <v>7.2</v>
      </c>
      <c r="J842" t="s">
        <v>57</v>
      </c>
      <c r="K842" s="2">
        <v>-22.8</v>
      </c>
      <c r="L842" s="3">
        <v>-37.299999999999997</v>
      </c>
    </row>
    <row r="843" spans="1:12" x14ac:dyDescent="0.3">
      <c r="A843">
        <v>842</v>
      </c>
      <c r="B843" t="s">
        <v>887</v>
      </c>
      <c r="C843">
        <v>1997</v>
      </c>
      <c r="D843" t="s">
        <v>25</v>
      </c>
      <c r="E843" t="s">
        <v>18</v>
      </c>
      <c r="F843">
        <v>128</v>
      </c>
      <c r="G843" s="2">
        <v>15.1</v>
      </c>
      <c r="H843" s="2">
        <v>52.1</v>
      </c>
      <c r="I843" s="2">
        <v>6</v>
      </c>
      <c r="J843" t="s">
        <v>59</v>
      </c>
      <c r="K843" s="2">
        <v>37</v>
      </c>
      <c r="L843" s="3">
        <v>245</v>
      </c>
    </row>
    <row r="844" spans="1:12" x14ac:dyDescent="0.3">
      <c r="A844">
        <v>843</v>
      </c>
      <c r="B844" t="s">
        <v>888</v>
      </c>
      <c r="C844">
        <v>2007</v>
      </c>
      <c r="D844" t="s">
        <v>47</v>
      </c>
      <c r="E844" t="s">
        <v>30</v>
      </c>
      <c r="F844">
        <v>108</v>
      </c>
      <c r="G844" s="2">
        <v>30.1</v>
      </c>
      <c r="H844" s="2">
        <v>45</v>
      </c>
      <c r="I844" s="2">
        <v>6.9</v>
      </c>
      <c r="J844" t="s">
        <v>91</v>
      </c>
      <c r="K844" s="2">
        <v>14.9</v>
      </c>
      <c r="L844" s="3">
        <v>49.5</v>
      </c>
    </row>
    <row r="845" spans="1:12" x14ac:dyDescent="0.3">
      <c r="A845">
        <v>844</v>
      </c>
      <c r="B845" t="s">
        <v>889</v>
      </c>
      <c r="C845">
        <v>2005</v>
      </c>
      <c r="D845" t="s">
        <v>27</v>
      </c>
      <c r="E845" t="s">
        <v>22</v>
      </c>
      <c r="F845">
        <v>145</v>
      </c>
      <c r="G845" s="2">
        <v>99.9</v>
      </c>
      <c r="H845" s="2">
        <v>93.9</v>
      </c>
      <c r="I845" s="2">
        <v>6.2</v>
      </c>
      <c r="J845" t="s">
        <v>57</v>
      </c>
      <c r="K845" s="2">
        <v>-6</v>
      </c>
      <c r="L845" s="3">
        <v>-6</v>
      </c>
    </row>
    <row r="846" spans="1:12" x14ac:dyDescent="0.3">
      <c r="A846">
        <v>845</v>
      </c>
      <c r="B846" t="s">
        <v>890</v>
      </c>
      <c r="C846">
        <v>1992</v>
      </c>
      <c r="D846" t="s">
        <v>45</v>
      </c>
      <c r="E846" t="s">
        <v>22</v>
      </c>
      <c r="F846">
        <v>99</v>
      </c>
      <c r="G846" s="2">
        <v>49.6</v>
      </c>
      <c r="H846" s="2">
        <v>103.9</v>
      </c>
      <c r="I846" s="2">
        <v>7.3</v>
      </c>
      <c r="J846" t="s">
        <v>34</v>
      </c>
      <c r="K846" s="2">
        <v>54.3</v>
      </c>
      <c r="L846" s="3">
        <v>109.5</v>
      </c>
    </row>
    <row r="847" spans="1:12" x14ac:dyDescent="0.3">
      <c r="A847">
        <v>846</v>
      </c>
      <c r="B847" t="s">
        <v>891</v>
      </c>
      <c r="C847">
        <v>2006</v>
      </c>
      <c r="D847" t="s">
        <v>17</v>
      </c>
      <c r="E847" t="s">
        <v>39</v>
      </c>
      <c r="F847">
        <v>101</v>
      </c>
      <c r="G847" s="2">
        <v>73.400000000000006</v>
      </c>
      <c r="H847" s="2">
        <v>357.8</v>
      </c>
      <c r="I847" s="2">
        <v>6.1</v>
      </c>
      <c r="J847" t="s">
        <v>37</v>
      </c>
      <c r="K847" s="2">
        <v>284.39999999999998</v>
      </c>
      <c r="L847" s="3">
        <v>387.5</v>
      </c>
    </row>
    <row r="848" spans="1:12" x14ac:dyDescent="0.3">
      <c r="A848">
        <v>847</v>
      </c>
      <c r="B848" t="s">
        <v>892</v>
      </c>
      <c r="C848">
        <v>2002</v>
      </c>
      <c r="D848" t="s">
        <v>65</v>
      </c>
      <c r="E848" t="s">
        <v>22</v>
      </c>
      <c r="F848">
        <v>137</v>
      </c>
      <c r="G848" s="2">
        <v>33.299999999999997</v>
      </c>
      <c r="H848" s="2">
        <v>69</v>
      </c>
      <c r="I848" s="2">
        <v>6.5</v>
      </c>
      <c r="J848" t="s">
        <v>40</v>
      </c>
      <c r="K848" s="2">
        <v>35.700000000000003</v>
      </c>
      <c r="L848" s="3">
        <v>107.2</v>
      </c>
    </row>
    <row r="849" spans="1:12" x14ac:dyDescent="0.3">
      <c r="A849">
        <v>848</v>
      </c>
      <c r="B849" t="s">
        <v>893</v>
      </c>
      <c r="C849">
        <v>1991</v>
      </c>
      <c r="D849" t="s">
        <v>36</v>
      </c>
      <c r="E849" t="s">
        <v>22</v>
      </c>
      <c r="F849">
        <v>99</v>
      </c>
      <c r="G849" s="2">
        <v>173.2</v>
      </c>
      <c r="H849" s="2">
        <v>594.29999999999995</v>
      </c>
      <c r="I849" s="2">
        <v>7.4</v>
      </c>
      <c r="J849" t="s">
        <v>51</v>
      </c>
      <c r="K849" s="2">
        <v>421.1</v>
      </c>
      <c r="L849" s="3">
        <v>243.1</v>
      </c>
    </row>
    <row r="850" spans="1:12" x14ac:dyDescent="0.3">
      <c r="A850">
        <v>849</v>
      </c>
      <c r="B850" t="s">
        <v>894</v>
      </c>
      <c r="C850">
        <v>2001</v>
      </c>
      <c r="D850" t="s">
        <v>45</v>
      </c>
      <c r="E850" t="s">
        <v>18</v>
      </c>
      <c r="F850">
        <v>136</v>
      </c>
      <c r="G850" s="2">
        <v>20.5</v>
      </c>
      <c r="H850" s="2">
        <v>59.3</v>
      </c>
      <c r="I850" s="2">
        <v>6.2</v>
      </c>
      <c r="J850" t="s">
        <v>59</v>
      </c>
      <c r="K850" s="2">
        <v>38.799999999999997</v>
      </c>
      <c r="L850" s="3">
        <v>189.3</v>
      </c>
    </row>
    <row r="851" spans="1:12" x14ac:dyDescent="0.3">
      <c r="A851">
        <v>850</v>
      </c>
      <c r="B851" t="s">
        <v>895</v>
      </c>
      <c r="C851">
        <v>1995</v>
      </c>
      <c r="D851" t="s">
        <v>13</v>
      </c>
      <c r="E851" t="s">
        <v>33</v>
      </c>
      <c r="F851">
        <v>96</v>
      </c>
      <c r="G851" s="2">
        <v>244.4</v>
      </c>
      <c r="H851" s="2">
        <v>656.6</v>
      </c>
      <c r="I851" s="2">
        <v>9.5</v>
      </c>
      <c r="J851" t="s">
        <v>28</v>
      </c>
      <c r="K851" s="2">
        <v>412.2</v>
      </c>
      <c r="L851" s="3">
        <v>168.7</v>
      </c>
    </row>
    <row r="852" spans="1:12" x14ac:dyDescent="0.3">
      <c r="A852">
        <v>851</v>
      </c>
      <c r="B852" t="s">
        <v>896</v>
      </c>
      <c r="C852">
        <v>2020</v>
      </c>
      <c r="D852" t="s">
        <v>17</v>
      </c>
      <c r="E852" t="s">
        <v>22</v>
      </c>
      <c r="F852">
        <v>183</v>
      </c>
      <c r="G852" s="2">
        <v>102.2</v>
      </c>
      <c r="H852" s="2">
        <v>290</v>
      </c>
      <c r="I852" s="2">
        <v>7.3</v>
      </c>
      <c r="J852" t="s">
        <v>57</v>
      </c>
      <c r="K852" s="2">
        <v>187.8</v>
      </c>
      <c r="L852" s="3">
        <v>183.8</v>
      </c>
    </row>
    <row r="853" spans="1:12" x14ac:dyDescent="0.3">
      <c r="A853">
        <v>852</v>
      </c>
      <c r="B853" t="s">
        <v>897</v>
      </c>
      <c r="C853">
        <v>2000</v>
      </c>
      <c r="D853" t="s">
        <v>13</v>
      </c>
      <c r="E853" t="s">
        <v>33</v>
      </c>
      <c r="F853">
        <v>118</v>
      </c>
      <c r="G853" s="2">
        <v>40.1</v>
      </c>
      <c r="H853" s="2">
        <v>155</v>
      </c>
      <c r="I853" s="2">
        <v>7.5</v>
      </c>
      <c r="J853" t="s">
        <v>79</v>
      </c>
      <c r="K853" s="2">
        <v>114.9</v>
      </c>
      <c r="L853" s="3">
        <v>286.5</v>
      </c>
    </row>
    <row r="854" spans="1:12" x14ac:dyDescent="0.3">
      <c r="A854">
        <v>853</v>
      </c>
      <c r="B854" t="s">
        <v>898</v>
      </c>
      <c r="C854">
        <v>2004</v>
      </c>
      <c r="D854" t="s">
        <v>25</v>
      </c>
      <c r="E854" t="s">
        <v>22</v>
      </c>
      <c r="F854">
        <v>117</v>
      </c>
      <c r="G854" s="2">
        <v>93.4</v>
      </c>
      <c r="H854" s="2">
        <v>347</v>
      </c>
      <c r="I854" s="2">
        <v>8.6999999999999993</v>
      </c>
      <c r="J854" t="s">
        <v>79</v>
      </c>
      <c r="K854" s="2">
        <v>253.6</v>
      </c>
      <c r="L854" s="3">
        <v>271.5</v>
      </c>
    </row>
    <row r="855" spans="1:12" x14ac:dyDescent="0.3">
      <c r="A855">
        <v>854</v>
      </c>
      <c r="B855" t="s">
        <v>899</v>
      </c>
      <c r="C855">
        <v>2008</v>
      </c>
      <c r="D855" t="s">
        <v>17</v>
      </c>
      <c r="E855" t="s">
        <v>18</v>
      </c>
      <c r="F855">
        <v>139</v>
      </c>
      <c r="G855" s="2">
        <v>11.2</v>
      </c>
      <c r="H855" s="2">
        <v>13.6</v>
      </c>
      <c r="I855" s="2">
        <v>6.8</v>
      </c>
      <c r="J855" t="s">
        <v>19</v>
      </c>
      <c r="K855" s="2">
        <v>2.4</v>
      </c>
      <c r="L855" s="3">
        <v>21.4</v>
      </c>
    </row>
    <row r="856" spans="1:12" x14ac:dyDescent="0.3">
      <c r="A856">
        <v>855</v>
      </c>
      <c r="B856" t="s">
        <v>900</v>
      </c>
      <c r="C856">
        <v>1999</v>
      </c>
      <c r="D856" t="s">
        <v>25</v>
      </c>
      <c r="E856" t="s">
        <v>18</v>
      </c>
      <c r="F856">
        <v>134</v>
      </c>
      <c r="G856" s="2">
        <v>5.9</v>
      </c>
      <c r="H856" s="2">
        <v>3.1</v>
      </c>
      <c r="I856" s="2">
        <v>6</v>
      </c>
      <c r="J856" t="s">
        <v>75</v>
      </c>
      <c r="K856" s="2">
        <v>-2.8</v>
      </c>
      <c r="L856" s="3">
        <v>-47.5</v>
      </c>
    </row>
    <row r="857" spans="1:12" x14ac:dyDescent="0.3">
      <c r="A857">
        <v>856</v>
      </c>
      <c r="B857" t="s">
        <v>901</v>
      </c>
      <c r="C857">
        <v>2021</v>
      </c>
      <c r="D857" t="s">
        <v>36</v>
      </c>
      <c r="E857" t="s">
        <v>18</v>
      </c>
      <c r="F857">
        <v>116</v>
      </c>
      <c r="G857" s="2">
        <v>9.4</v>
      </c>
      <c r="H857" s="2">
        <v>24.2</v>
      </c>
      <c r="I857" s="2">
        <v>8.6999999999999993</v>
      </c>
      <c r="J857" t="s">
        <v>59</v>
      </c>
      <c r="K857" s="2">
        <v>14.8</v>
      </c>
      <c r="L857" s="3">
        <v>157.4</v>
      </c>
    </row>
    <row r="858" spans="1:12" x14ac:dyDescent="0.3">
      <c r="A858">
        <v>857</v>
      </c>
      <c r="B858" t="s">
        <v>902</v>
      </c>
      <c r="C858">
        <v>2011</v>
      </c>
      <c r="D858" t="s">
        <v>25</v>
      </c>
      <c r="E858" t="s">
        <v>22</v>
      </c>
      <c r="F858">
        <v>145</v>
      </c>
      <c r="G858" s="2">
        <v>49.8</v>
      </c>
      <c r="H858" s="2">
        <v>151.30000000000001</v>
      </c>
      <c r="I858" s="2">
        <v>8.6999999999999993</v>
      </c>
      <c r="J858" t="s">
        <v>79</v>
      </c>
      <c r="K858" s="2">
        <v>101.5</v>
      </c>
      <c r="L858" s="3">
        <v>203.8</v>
      </c>
    </row>
    <row r="859" spans="1:12" x14ac:dyDescent="0.3">
      <c r="A859">
        <v>858</v>
      </c>
      <c r="B859" t="s">
        <v>903</v>
      </c>
      <c r="C859">
        <v>1997</v>
      </c>
      <c r="D859" t="s">
        <v>25</v>
      </c>
      <c r="E859" t="s">
        <v>18</v>
      </c>
      <c r="F859">
        <v>128</v>
      </c>
      <c r="G859" s="2">
        <v>5.9</v>
      </c>
      <c r="H859" s="2">
        <v>2.9</v>
      </c>
      <c r="I859" s="2">
        <v>5.2</v>
      </c>
      <c r="J859" t="s">
        <v>75</v>
      </c>
      <c r="K859" s="2">
        <v>-3</v>
      </c>
      <c r="L859" s="3">
        <v>-50.8</v>
      </c>
    </row>
    <row r="860" spans="1:12" x14ac:dyDescent="0.3">
      <c r="A860">
        <v>859</v>
      </c>
      <c r="B860" t="s">
        <v>904</v>
      </c>
      <c r="C860">
        <v>1991</v>
      </c>
      <c r="D860" t="s">
        <v>53</v>
      </c>
      <c r="E860" t="s">
        <v>22</v>
      </c>
      <c r="F860">
        <v>192</v>
      </c>
      <c r="G860" s="2">
        <v>119.1</v>
      </c>
      <c r="H860" s="2">
        <v>319.2</v>
      </c>
      <c r="I860" s="2">
        <v>7.2</v>
      </c>
      <c r="J860" t="s">
        <v>91</v>
      </c>
      <c r="K860" s="2">
        <v>200.1</v>
      </c>
      <c r="L860" s="3">
        <v>168</v>
      </c>
    </row>
    <row r="861" spans="1:12" x14ac:dyDescent="0.3">
      <c r="A861">
        <v>860</v>
      </c>
      <c r="B861" t="s">
        <v>905</v>
      </c>
      <c r="C861">
        <v>2007</v>
      </c>
      <c r="D861" t="s">
        <v>13</v>
      </c>
      <c r="E861" t="s">
        <v>18</v>
      </c>
      <c r="F861">
        <v>136</v>
      </c>
      <c r="G861" s="2">
        <v>24.5</v>
      </c>
      <c r="H861" s="2">
        <v>52.7</v>
      </c>
      <c r="I861" s="2">
        <v>8.1999999999999993</v>
      </c>
      <c r="J861" t="s">
        <v>59</v>
      </c>
      <c r="K861" s="2">
        <v>28.2</v>
      </c>
      <c r="L861" s="3">
        <v>115.1</v>
      </c>
    </row>
    <row r="862" spans="1:12" x14ac:dyDescent="0.3">
      <c r="A862">
        <v>861</v>
      </c>
      <c r="B862" t="s">
        <v>906</v>
      </c>
      <c r="C862">
        <v>2021</v>
      </c>
      <c r="D862" t="s">
        <v>36</v>
      </c>
      <c r="E862" t="s">
        <v>30</v>
      </c>
      <c r="F862">
        <v>99</v>
      </c>
      <c r="G862" s="2">
        <v>121.6</v>
      </c>
      <c r="H862" s="2">
        <v>200.3</v>
      </c>
      <c r="I862" s="2">
        <v>8.1</v>
      </c>
      <c r="J862" t="s">
        <v>51</v>
      </c>
      <c r="K862" s="2">
        <v>78.7</v>
      </c>
      <c r="L862" s="3">
        <v>64.7</v>
      </c>
    </row>
    <row r="863" spans="1:12" x14ac:dyDescent="0.3">
      <c r="A863">
        <v>862</v>
      </c>
      <c r="B863" t="s">
        <v>907</v>
      </c>
      <c r="C863">
        <v>2024</v>
      </c>
      <c r="D863" t="s">
        <v>27</v>
      </c>
      <c r="E863" t="s">
        <v>127</v>
      </c>
      <c r="F863">
        <v>110</v>
      </c>
      <c r="G863" s="2">
        <v>23.1</v>
      </c>
      <c r="H863" s="2">
        <v>46.4</v>
      </c>
      <c r="I863" s="2">
        <v>7.9</v>
      </c>
      <c r="J863" t="s">
        <v>91</v>
      </c>
      <c r="K863" s="2">
        <v>23.3</v>
      </c>
      <c r="L863" s="3">
        <v>100.9</v>
      </c>
    </row>
    <row r="864" spans="1:12" x14ac:dyDescent="0.3">
      <c r="A864">
        <v>863</v>
      </c>
      <c r="B864" t="s">
        <v>908</v>
      </c>
      <c r="C864">
        <v>2012</v>
      </c>
      <c r="D864" t="s">
        <v>65</v>
      </c>
      <c r="E864" t="s">
        <v>18</v>
      </c>
      <c r="F864">
        <v>88</v>
      </c>
      <c r="G864" s="2">
        <v>7.2</v>
      </c>
      <c r="H864" s="2">
        <v>18.7</v>
      </c>
      <c r="I864" s="2">
        <v>7.7</v>
      </c>
      <c r="J864" t="s">
        <v>19</v>
      </c>
      <c r="K864" s="2">
        <v>11.5</v>
      </c>
      <c r="L864" s="3">
        <v>159.69999999999999</v>
      </c>
    </row>
    <row r="865" spans="1:12" x14ac:dyDescent="0.3">
      <c r="A865">
        <v>864</v>
      </c>
      <c r="B865" t="s">
        <v>909</v>
      </c>
      <c r="C865">
        <v>2024</v>
      </c>
      <c r="D865" t="s">
        <v>25</v>
      </c>
      <c r="E865" t="s">
        <v>30</v>
      </c>
      <c r="F865">
        <v>128</v>
      </c>
      <c r="G865" s="2">
        <v>111.9</v>
      </c>
      <c r="H865" s="2">
        <v>182.3</v>
      </c>
      <c r="I865" s="2">
        <v>7.5</v>
      </c>
      <c r="J865" t="s">
        <v>57</v>
      </c>
      <c r="K865" s="2">
        <v>70.400000000000006</v>
      </c>
      <c r="L865" s="3">
        <v>62.9</v>
      </c>
    </row>
    <row r="866" spans="1:12" x14ac:dyDescent="0.3">
      <c r="A866">
        <v>865</v>
      </c>
      <c r="B866" t="s">
        <v>910</v>
      </c>
      <c r="C866">
        <v>2024</v>
      </c>
      <c r="D866" t="s">
        <v>13</v>
      </c>
      <c r="E866" t="s">
        <v>22</v>
      </c>
      <c r="F866">
        <v>121</v>
      </c>
      <c r="G866" s="2">
        <v>32.700000000000003</v>
      </c>
      <c r="H866" s="2">
        <v>43.8</v>
      </c>
      <c r="I866" s="2">
        <v>5.6</v>
      </c>
      <c r="J866" t="s">
        <v>23</v>
      </c>
      <c r="K866" s="2">
        <v>11.1</v>
      </c>
      <c r="L866" s="3">
        <v>33.9</v>
      </c>
    </row>
    <row r="867" spans="1:12" x14ac:dyDescent="0.3">
      <c r="A867">
        <v>866</v>
      </c>
      <c r="B867" t="s">
        <v>911</v>
      </c>
      <c r="C867">
        <v>2022</v>
      </c>
      <c r="D867" t="s">
        <v>45</v>
      </c>
      <c r="E867" t="s">
        <v>22</v>
      </c>
      <c r="F867">
        <v>127</v>
      </c>
      <c r="G867" s="2">
        <v>24.2</v>
      </c>
      <c r="H867" s="2">
        <v>82.2</v>
      </c>
      <c r="I867" s="2">
        <v>5.5</v>
      </c>
      <c r="J867" t="s">
        <v>34</v>
      </c>
      <c r="K867" s="2">
        <v>58</v>
      </c>
      <c r="L867" s="3">
        <v>239.7</v>
      </c>
    </row>
    <row r="868" spans="1:12" x14ac:dyDescent="0.3">
      <c r="A868">
        <v>867</v>
      </c>
      <c r="B868" t="s">
        <v>912</v>
      </c>
      <c r="C868">
        <v>2024</v>
      </c>
      <c r="D868" t="s">
        <v>47</v>
      </c>
      <c r="E868" t="s">
        <v>18</v>
      </c>
      <c r="F868">
        <v>88</v>
      </c>
      <c r="G868" s="2">
        <v>3.4</v>
      </c>
      <c r="H868" s="2">
        <v>3</v>
      </c>
      <c r="I868" s="2">
        <v>9</v>
      </c>
      <c r="J868" t="s">
        <v>19</v>
      </c>
      <c r="K868" s="2">
        <v>-0.4</v>
      </c>
      <c r="L868" s="3">
        <v>-11.8</v>
      </c>
    </row>
    <row r="869" spans="1:12" x14ac:dyDescent="0.3">
      <c r="A869">
        <v>868</v>
      </c>
      <c r="B869" t="s">
        <v>913</v>
      </c>
      <c r="C869">
        <v>1992</v>
      </c>
      <c r="D869" t="s">
        <v>17</v>
      </c>
      <c r="E869" t="s">
        <v>18</v>
      </c>
      <c r="F869">
        <v>134</v>
      </c>
      <c r="G869" s="2">
        <v>3.3</v>
      </c>
      <c r="H869" s="2">
        <v>1.9</v>
      </c>
      <c r="I869" s="2">
        <v>8.9</v>
      </c>
      <c r="J869" t="s">
        <v>19</v>
      </c>
      <c r="K869" s="2">
        <v>-1.4</v>
      </c>
      <c r="L869" s="3">
        <v>-42.4</v>
      </c>
    </row>
    <row r="870" spans="1:12" x14ac:dyDescent="0.3">
      <c r="A870">
        <v>869</v>
      </c>
      <c r="B870" t="s">
        <v>914</v>
      </c>
      <c r="C870">
        <v>1991</v>
      </c>
      <c r="D870" t="s">
        <v>45</v>
      </c>
      <c r="E870" t="s">
        <v>18</v>
      </c>
      <c r="F870">
        <v>152</v>
      </c>
      <c r="G870" s="2">
        <v>5.4</v>
      </c>
      <c r="H870" s="2">
        <v>14.8</v>
      </c>
      <c r="I870" s="2">
        <v>7.1</v>
      </c>
      <c r="J870" t="s">
        <v>75</v>
      </c>
      <c r="K870" s="2">
        <v>9.4</v>
      </c>
      <c r="L870" s="3">
        <v>174.1</v>
      </c>
    </row>
    <row r="871" spans="1:12" x14ac:dyDescent="0.3">
      <c r="A871">
        <v>870</v>
      </c>
      <c r="B871" t="s">
        <v>915</v>
      </c>
      <c r="C871">
        <v>1991</v>
      </c>
      <c r="D871" t="s">
        <v>17</v>
      </c>
      <c r="E871" t="s">
        <v>22</v>
      </c>
      <c r="F871">
        <v>77</v>
      </c>
      <c r="G871" s="2">
        <v>51.9</v>
      </c>
      <c r="H871" s="2">
        <v>37.6</v>
      </c>
      <c r="I871" s="2">
        <v>6.8</v>
      </c>
      <c r="J871" t="s">
        <v>28</v>
      </c>
      <c r="K871" s="2">
        <v>-14.3</v>
      </c>
      <c r="L871" s="3">
        <v>-27.6</v>
      </c>
    </row>
    <row r="872" spans="1:12" x14ac:dyDescent="0.3">
      <c r="A872">
        <v>871</v>
      </c>
      <c r="B872" t="s">
        <v>916</v>
      </c>
      <c r="C872">
        <v>2005</v>
      </c>
      <c r="D872" t="s">
        <v>25</v>
      </c>
      <c r="E872" t="s">
        <v>18</v>
      </c>
      <c r="F872">
        <v>93</v>
      </c>
      <c r="G872" s="2">
        <v>4.3</v>
      </c>
      <c r="H872" s="2">
        <v>1.6</v>
      </c>
      <c r="I872" s="2">
        <v>9.1999999999999993</v>
      </c>
      <c r="J872" t="s">
        <v>68</v>
      </c>
      <c r="K872" s="2">
        <v>-2.7</v>
      </c>
      <c r="L872" s="3">
        <v>-62.8</v>
      </c>
    </row>
    <row r="873" spans="1:12" x14ac:dyDescent="0.3">
      <c r="A873">
        <v>872</v>
      </c>
      <c r="B873" t="s">
        <v>917</v>
      </c>
      <c r="C873">
        <v>2011</v>
      </c>
      <c r="D873" t="s">
        <v>45</v>
      </c>
      <c r="E873" t="s">
        <v>22</v>
      </c>
      <c r="F873">
        <v>171</v>
      </c>
      <c r="G873" s="2">
        <v>48.7</v>
      </c>
      <c r="H873" s="2">
        <v>123</v>
      </c>
      <c r="I873" s="2">
        <v>7.3</v>
      </c>
      <c r="J873" t="s">
        <v>51</v>
      </c>
      <c r="K873" s="2">
        <v>74.3</v>
      </c>
      <c r="L873" s="3">
        <v>152.6</v>
      </c>
    </row>
    <row r="874" spans="1:12" x14ac:dyDescent="0.3">
      <c r="A874">
        <v>873</v>
      </c>
      <c r="B874" t="s">
        <v>918</v>
      </c>
      <c r="C874">
        <v>2024</v>
      </c>
      <c r="D874" t="s">
        <v>25</v>
      </c>
      <c r="E874" t="s">
        <v>18</v>
      </c>
      <c r="F874">
        <v>124</v>
      </c>
      <c r="G874" s="2">
        <v>20</v>
      </c>
      <c r="H874" s="2">
        <v>46.1</v>
      </c>
      <c r="I874" s="2">
        <v>6.6</v>
      </c>
      <c r="J874" t="s">
        <v>59</v>
      </c>
      <c r="K874" s="2">
        <v>26.1</v>
      </c>
      <c r="L874" s="3">
        <v>130.5</v>
      </c>
    </row>
    <row r="875" spans="1:12" x14ac:dyDescent="0.3">
      <c r="A875">
        <v>874</v>
      </c>
      <c r="B875" t="s">
        <v>919</v>
      </c>
      <c r="C875">
        <v>2024</v>
      </c>
      <c r="D875" t="s">
        <v>27</v>
      </c>
      <c r="E875" t="s">
        <v>22</v>
      </c>
      <c r="F875">
        <v>144</v>
      </c>
      <c r="G875" s="2">
        <v>60.9</v>
      </c>
      <c r="H875" s="2">
        <v>110.7</v>
      </c>
      <c r="I875" s="2">
        <v>8.8000000000000007</v>
      </c>
      <c r="J875" t="s">
        <v>37</v>
      </c>
      <c r="K875" s="2">
        <v>49.8</v>
      </c>
      <c r="L875" s="3">
        <v>81.8</v>
      </c>
    </row>
    <row r="876" spans="1:12" x14ac:dyDescent="0.3">
      <c r="A876">
        <v>875</v>
      </c>
      <c r="B876" t="s">
        <v>920</v>
      </c>
      <c r="C876">
        <v>2024</v>
      </c>
      <c r="D876" t="s">
        <v>17</v>
      </c>
      <c r="E876" t="s">
        <v>22</v>
      </c>
      <c r="F876">
        <v>121</v>
      </c>
      <c r="G876" s="2">
        <v>217.8</v>
      </c>
      <c r="H876" s="2">
        <v>146.19999999999999</v>
      </c>
      <c r="I876" s="2">
        <v>6.1</v>
      </c>
      <c r="J876" t="s">
        <v>37</v>
      </c>
      <c r="K876" s="2">
        <v>-71.599999999999994</v>
      </c>
      <c r="L876" s="3">
        <v>-32.9</v>
      </c>
    </row>
    <row r="877" spans="1:12" x14ac:dyDescent="0.3">
      <c r="A877">
        <v>876</v>
      </c>
      <c r="B877" t="s">
        <v>921</v>
      </c>
      <c r="C877">
        <v>2012</v>
      </c>
      <c r="D877" t="s">
        <v>25</v>
      </c>
      <c r="E877" t="s">
        <v>39</v>
      </c>
      <c r="F877">
        <v>99</v>
      </c>
      <c r="G877" s="2">
        <v>256.5</v>
      </c>
      <c r="H877" s="2">
        <v>832.5</v>
      </c>
      <c r="I877" s="2">
        <v>6.5</v>
      </c>
      <c r="J877" t="s">
        <v>23</v>
      </c>
      <c r="K877" s="2">
        <v>576</v>
      </c>
      <c r="L877" s="3">
        <v>224.6</v>
      </c>
    </row>
    <row r="878" spans="1:12" x14ac:dyDescent="0.3">
      <c r="A878">
        <v>877</v>
      </c>
      <c r="B878" t="s">
        <v>922</v>
      </c>
      <c r="C878">
        <v>1998</v>
      </c>
      <c r="D878" t="s">
        <v>45</v>
      </c>
      <c r="E878" t="s">
        <v>22</v>
      </c>
      <c r="F878">
        <v>121</v>
      </c>
      <c r="G878" s="2">
        <v>31.9</v>
      </c>
      <c r="H878" s="2">
        <v>139.9</v>
      </c>
      <c r="I878" s="2">
        <v>7.1</v>
      </c>
      <c r="J878" t="s">
        <v>31</v>
      </c>
      <c r="K878" s="2">
        <v>108</v>
      </c>
      <c r="L878" s="3">
        <v>338.6</v>
      </c>
    </row>
    <row r="879" spans="1:12" x14ac:dyDescent="0.3">
      <c r="A879">
        <v>878</v>
      </c>
      <c r="B879" t="s">
        <v>923</v>
      </c>
      <c r="C879">
        <v>2006</v>
      </c>
      <c r="D879" t="s">
        <v>13</v>
      </c>
      <c r="E879" t="s">
        <v>66</v>
      </c>
      <c r="F879">
        <v>121</v>
      </c>
      <c r="G879" s="2">
        <v>97.3</v>
      </c>
      <c r="H879" s="2">
        <v>268.5</v>
      </c>
      <c r="I879" s="2">
        <v>7.7</v>
      </c>
      <c r="J879" t="s">
        <v>31</v>
      </c>
      <c r="K879" s="2">
        <v>171.2</v>
      </c>
      <c r="L879" s="3">
        <v>176</v>
      </c>
    </row>
    <row r="880" spans="1:12" x14ac:dyDescent="0.3">
      <c r="A880">
        <v>879</v>
      </c>
      <c r="B880" t="s">
        <v>924</v>
      </c>
      <c r="C880">
        <v>2004</v>
      </c>
      <c r="D880" t="s">
        <v>13</v>
      </c>
      <c r="E880" t="s">
        <v>22</v>
      </c>
      <c r="F880">
        <v>173</v>
      </c>
      <c r="G880" s="2">
        <v>121.9</v>
      </c>
      <c r="H880" s="2">
        <v>153.69999999999999</v>
      </c>
      <c r="I880" s="2">
        <v>7.7</v>
      </c>
      <c r="J880" t="s">
        <v>51</v>
      </c>
      <c r="K880" s="2">
        <v>31.8</v>
      </c>
      <c r="L880" s="3">
        <v>26.1</v>
      </c>
    </row>
    <row r="881" spans="1:12" x14ac:dyDescent="0.3">
      <c r="A881">
        <v>880</v>
      </c>
      <c r="B881" t="s">
        <v>925</v>
      </c>
      <c r="C881">
        <v>1991</v>
      </c>
      <c r="D881" t="s">
        <v>53</v>
      </c>
      <c r="E881" t="s">
        <v>22</v>
      </c>
      <c r="F881">
        <v>152</v>
      </c>
      <c r="G881" s="2">
        <v>99.7</v>
      </c>
      <c r="H881" s="2">
        <v>348.2</v>
      </c>
      <c r="I881" s="2">
        <v>7.5</v>
      </c>
      <c r="J881" t="s">
        <v>28</v>
      </c>
      <c r="K881" s="2">
        <v>248.5</v>
      </c>
      <c r="L881" s="3">
        <v>249.2</v>
      </c>
    </row>
    <row r="882" spans="1:12" x14ac:dyDescent="0.3">
      <c r="A882">
        <v>881</v>
      </c>
      <c r="B882" t="s">
        <v>926</v>
      </c>
      <c r="C882">
        <v>2020</v>
      </c>
      <c r="D882" t="s">
        <v>47</v>
      </c>
      <c r="E882" t="s">
        <v>22</v>
      </c>
      <c r="F882">
        <v>136</v>
      </c>
      <c r="G882" s="2">
        <v>194.2</v>
      </c>
      <c r="H882" s="2">
        <v>384.2</v>
      </c>
      <c r="I882" s="2">
        <v>7.9</v>
      </c>
      <c r="J882" t="s">
        <v>23</v>
      </c>
      <c r="K882" s="2">
        <v>190</v>
      </c>
      <c r="L882" s="3">
        <v>97.8</v>
      </c>
    </row>
    <row r="883" spans="1:12" x14ac:dyDescent="0.3">
      <c r="A883">
        <v>882</v>
      </c>
      <c r="B883" t="s">
        <v>927</v>
      </c>
      <c r="C883">
        <v>2008</v>
      </c>
      <c r="D883" t="s">
        <v>53</v>
      </c>
      <c r="E883" t="s">
        <v>30</v>
      </c>
      <c r="F883">
        <v>165</v>
      </c>
      <c r="G883" s="2">
        <v>66.8</v>
      </c>
      <c r="H883" s="2">
        <v>64.3</v>
      </c>
      <c r="I883" s="2">
        <v>7.9</v>
      </c>
      <c r="J883" t="s">
        <v>23</v>
      </c>
      <c r="K883" s="2">
        <v>-2.5</v>
      </c>
      <c r="L883" s="3">
        <v>-3.7</v>
      </c>
    </row>
    <row r="884" spans="1:12" x14ac:dyDescent="0.3">
      <c r="A884">
        <v>883</v>
      </c>
      <c r="B884" t="s">
        <v>928</v>
      </c>
      <c r="C884">
        <v>1998</v>
      </c>
      <c r="D884" t="s">
        <v>36</v>
      </c>
      <c r="E884" t="s">
        <v>33</v>
      </c>
      <c r="F884">
        <v>98</v>
      </c>
      <c r="G884" s="2">
        <v>109.8</v>
      </c>
      <c r="H884" s="2">
        <v>227.1</v>
      </c>
      <c r="I884" s="2">
        <v>7.7</v>
      </c>
      <c r="J884" t="s">
        <v>23</v>
      </c>
      <c r="K884" s="2">
        <v>117.3</v>
      </c>
      <c r="L884" s="3">
        <v>106.8</v>
      </c>
    </row>
    <row r="885" spans="1:12" x14ac:dyDescent="0.3">
      <c r="A885">
        <v>884</v>
      </c>
      <c r="B885" t="s">
        <v>929</v>
      </c>
      <c r="C885">
        <v>2024</v>
      </c>
      <c r="D885" t="s">
        <v>65</v>
      </c>
      <c r="E885" t="s">
        <v>18</v>
      </c>
      <c r="F885">
        <v>141</v>
      </c>
      <c r="G885" s="2">
        <v>6</v>
      </c>
      <c r="H885" s="2">
        <v>3.7</v>
      </c>
      <c r="I885" s="2">
        <v>6.1</v>
      </c>
      <c r="J885" t="s">
        <v>48</v>
      </c>
      <c r="K885" s="2">
        <v>-2.2999999999999998</v>
      </c>
      <c r="L885" s="3">
        <v>-38.299999999999997</v>
      </c>
    </row>
    <row r="886" spans="1:12" x14ac:dyDescent="0.3">
      <c r="A886">
        <v>885</v>
      </c>
      <c r="B886" t="s">
        <v>930</v>
      </c>
      <c r="C886">
        <v>2023</v>
      </c>
      <c r="D886" t="s">
        <v>17</v>
      </c>
      <c r="E886" t="s">
        <v>22</v>
      </c>
      <c r="F886">
        <v>148</v>
      </c>
      <c r="G886" s="2">
        <v>151.4</v>
      </c>
      <c r="H886" s="2">
        <v>139.9</v>
      </c>
      <c r="I886" s="2">
        <v>7.2</v>
      </c>
      <c r="J886" t="s">
        <v>37</v>
      </c>
      <c r="K886" s="2">
        <v>-11.5</v>
      </c>
      <c r="L886" s="3">
        <v>-7.6</v>
      </c>
    </row>
    <row r="887" spans="1:12" x14ac:dyDescent="0.3">
      <c r="A887">
        <v>886</v>
      </c>
      <c r="B887" t="s">
        <v>931</v>
      </c>
      <c r="C887">
        <v>2009</v>
      </c>
      <c r="D887" t="s">
        <v>13</v>
      </c>
      <c r="E887" t="s">
        <v>18</v>
      </c>
      <c r="F887">
        <v>144</v>
      </c>
      <c r="G887" s="2">
        <v>23.9</v>
      </c>
      <c r="H887" s="2">
        <v>35.700000000000003</v>
      </c>
      <c r="I887" s="2">
        <v>7.5</v>
      </c>
      <c r="J887" t="s">
        <v>19</v>
      </c>
      <c r="K887" s="2">
        <v>11.8</v>
      </c>
      <c r="L887" s="3">
        <v>49.4</v>
      </c>
    </row>
    <row r="888" spans="1:12" x14ac:dyDescent="0.3">
      <c r="A888">
        <v>887</v>
      </c>
      <c r="B888" t="s">
        <v>932</v>
      </c>
      <c r="C888">
        <v>1997</v>
      </c>
      <c r="D888" t="s">
        <v>27</v>
      </c>
      <c r="E888" t="s">
        <v>18</v>
      </c>
      <c r="F888">
        <v>108</v>
      </c>
      <c r="G888" s="2">
        <v>6.7</v>
      </c>
      <c r="H888" s="2">
        <v>11.2</v>
      </c>
      <c r="I888" s="2">
        <v>6.1</v>
      </c>
      <c r="J888" t="s">
        <v>48</v>
      </c>
      <c r="K888" s="2">
        <v>4.5</v>
      </c>
      <c r="L888" s="3">
        <v>67.2</v>
      </c>
    </row>
    <row r="889" spans="1:12" x14ac:dyDescent="0.3">
      <c r="A889">
        <v>888</v>
      </c>
      <c r="B889" t="s">
        <v>933</v>
      </c>
      <c r="C889">
        <v>2023</v>
      </c>
      <c r="D889" t="s">
        <v>47</v>
      </c>
      <c r="E889" t="s">
        <v>22</v>
      </c>
      <c r="F889">
        <v>181</v>
      </c>
      <c r="G889" s="2">
        <v>20.2</v>
      </c>
      <c r="H889" s="2">
        <v>102.9</v>
      </c>
      <c r="I889" s="2">
        <v>8.4</v>
      </c>
      <c r="J889" t="s">
        <v>51</v>
      </c>
      <c r="K889" s="2">
        <v>82.7</v>
      </c>
      <c r="L889" s="3">
        <v>409.4</v>
      </c>
    </row>
    <row r="890" spans="1:12" x14ac:dyDescent="0.3">
      <c r="A890">
        <v>889</v>
      </c>
      <c r="B890" t="s">
        <v>934</v>
      </c>
      <c r="C890">
        <v>2014</v>
      </c>
      <c r="D890" t="s">
        <v>36</v>
      </c>
      <c r="E890" t="s">
        <v>22</v>
      </c>
      <c r="F890">
        <v>145</v>
      </c>
      <c r="G890" s="2">
        <v>41.5</v>
      </c>
      <c r="H890" s="2">
        <v>100.4</v>
      </c>
      <c r="I890" s="2">
        <v>7</v>
      </c>
      <c r="J890" t="s">
        <v>34</v>
      </c>
      <c r="K890" s="2">
        <v>58.9</v>
      </c>
      <c r="L890" s="3">
        <v>141.9</v>
      </c>
    </row>
    <row r="891" spans="1:12" x14ac:dyDescent="0.3">
      <c r="A891">
        <v>890</v>
      </c>
      <c r="B891" t="s">
        <v>935</v>
      </c>
      <c r="C891">
        <v>2015</v>
      </c>
      <c r="D891" t="s">
        <v>45</v>
      </c>
      <c r="E891" t="s">
        <v>22</v>
      </c>
      <c r="F891">
        <v>108</v>
      </c>
      <c r="G891" s="2">
        <v>58.4</v>
      </c>
      <c r="H891" s="2">
        <v>253.4</v>
      </c>
      <c r="I891" s="2">
        <v>7</v>
      </c>
      <c r="J891" t="s">
        <v>40</v>
      </c>
      <c r="K891" s="2">
        <v>195</v>
      </c>
      <c r="L891" s="3">
        <v>333.9</v>
      </c>
    </row>
    <row r="892" spans="1:12" x14ac:dyDescent="0.3">
      <c r="A892">
        <v>891</v>
      </c>
      <c r="B892" t="s">
        <v>936</v>
      </c>
      <c r="C892">
        <v>2001</v>
      </c>
      <c r="D892" t="s">
        <v>45</v>
      </c>
      <c r="E892" t="s">
        <v>18</v>
      </c>
      <c r="F892">
        <v>90</v>
      </c>
      <c r="G892" s="2">
        <v>28.3</v>
      </c>
      <c r="H892" s="2">
        <v>83.5</v>
      </c>
      <c r="I892" s="2">
        <v>6.9</v>
      </c>
      <c r="J892" t="s">
        <v>68</v>
      </c>
      <c r="K892" s="2">
        <v>55.2</v>
      </c>
      <c r="L892" s="3">
        <v>195.1</v>
      </c>
    </row>
    <row r="893" spans="1:12" x14ac:dyDescent="0.3">
      <c r="A893">
        <v>892</v>
      </c>
      <c r="B893" t="s">
        <v>937</v>
      </c>
      <c r="C893">
        <v>2010</v>
      </c>
      <c r="D893" t="s">
        <v>21</v>
      </c>
      <c r="E893" t="s">
        <v>22</v>
      </c>
      <c r="F893">
        <v>99</v>
      </c>
      <c r="G893" s="2">
        <v>41.5</v>
      </c>
      <c r="H893" s="2">
        <v>135.9</v>
      </c>
      <c r="I893" s="2">
        <v>5.3</v>
      </c>
      <c r="J893" t="s">
        <v>37</v>
      </c>
      <c r="K893" s="2">
        <v>94.4</v>
      </c>
      <c r="L893" s="3">
        <v>227.5</v>
      </c>
    </row>
    <row r="894" spans="1:12" x14ac:dyDescent="0.3">
      <c r="A894">
        <v>893</v>
      </c>
      <c r="B894" t="s">
        <v>938</v>
      </c>
      <c r="C894">
        <v>2023</v>
      </c>
      <c r="D894" t="s">
        <v>25</v>
      </c>
      <c r="E894" t="s">
        <v>18</v>
      </c>
      <c r="F894">
        <v>140</v>
      </c>
      <c r="G894" s="2">
        <v>4.0999999999999996</v>
      </c>
      <c r="H894" s="2">
        <v>9.6</v>
      </c>
      <c r="I894" s="2">
        <v>6.9</v>
      </c>
      <c r="J894" t="s">
        <v>19</v>
      </c>
      <c r="K894" s="2">
        <v>5.5</v>
      </c>
      <c r="L894" s="3">
        <v>134.1</v>
      </c>
    </row>
    <row r="895" spans="1:12" x14ac:dyDescent="0.3">
      <c r="A895">
        <v>894</v>
      </c>
      <c r="B895" t="s">
        <v>939</v>
      </c>
      <c r="C895">
        <v>2012</v>
      </c>
      <c r="D895" t="s">
        <v>65</v>
      </c>
      <c r="E895" t="s">
        <v>66</v>
      </c>
      <c r="F895">
        <v>75</v>
      </c>
      <c r="G895" s="2">
        <v>87.5</v>
      </c>
      <c r="H895" s="2">
        <v>240.5</v>
      </c>
      <c r="I895" s="2">
        <v>7.2</v>
      </c>
      <c r="J895" t="s">
        <v>31</v>
      </c>
      <c r="K895" s="2">
        <v>153</v>
      </c>
      <c r="L895" s="3">
        <v>174.9</v>
      </c>
    </row>
    <row r="896" spans="1:12" x14ac:dyDescent="0.3">
      <c r="A896">
        <v>895</v>
      </c>
      <c r="B896" t="s">
        <v>940</v>
      </c>
      <c r="C896">
        <v>1999</v>
      </c>
      <c r="D896" t="s">
        <v>13</v>
      </c>
      <c r="E896" t="s">
        <v>22</v>
      </c>
      <c r="F896">
        <v>133</v>
      </c>
      <c r="G896" s="2">
        <v>68.2</v>
      </c>
      <c r="H896" s="2">
        <v>171.2</v>
      </c>
      <c r="I896" s="2">
        <v>6.9</v>
      </c>
      <c r="J896" t="s">
        <v>31</v>
      </c>
      <c r="K896" s="2">
        <v>103</v>
      </c>
      <c r="L896" s="3">
        <v>151</v>
      </c>
    </row>
    <row r="897" spans="1:12" x14ac:dyDescent="0.3">
      <c r="A897">
        <v>896</v>
      </c>
      <c r="B897" t="s">
        <v>941</v>
      </c>
      <c r="C897">
        <v>1990</v>
      </c>
      <c r="D897" t="s">
        <v>13</v>
      </c>
      <c r="E897" t="s">
        <v>66</v>
      </c>
      <c r="F897">
        <v>91</v>
      </c>
      <c r="G897" s="2">
        <v>61.2</v>
      </c>
      <c r="H897" s="2">
        <v>74.3</v>
      </c>
      <c r="I897" s="2">
        <v>7.6</v>
      </c>
      <c r="J897" t="s">
        <v>28</v>
      </c>
      <c r="K897" s="2">
        <v>13.1</v>
      </c>
      <c r="L897" s="3">
        <v>21.4</v>
      </c>
    </row>
    <row r="898" spans="1:12" x14ac:dyDescent="0.3">
      <c r="A898">
        <v>897</v>
      </c>
      <c r="B898" t="s">
        <v>942</v>
      </c>
      <c r="C898">
        <v>2015</v>
      </c>
      <c r="D898" t="s">
        <v>36</v>
      </c>
      <c r="E898" t="s">
        <v>22</v>
      </c>
      <c r="F898">
        <v>85</v>
      </c>
      <c r="G898" s="2">
        <v>39.5</v>
      </c>
      <c r="H898" s="2">
        <v>124.3</v>
      </c>
      <c r="I898" s="2">
        <v>6.5</v>
      </c>
      <c r="J898" t="s">
        <v>51</v>
      </c>
      <c r="K898" s="2">
        <v>84.8</v>
      </c>
      <c r="L898" s="3">
        <v>214.7</v>
      </c>
    </row>
    <row r="899" spans="1:12" x14ac:dyDescent="0.3">
      <c r="A899">
        <v>898</v>
      </c>
      <c r="B899" t="s">
        <v>943</v>
      </c>
      <c r="C899">
        <v>2014</v>
      </c>
      <c r="D899" t="s">
        <v>36</v>
      </c>
      <c r="E899" t="s">
        <v>66</v>
      </c>
      <c r="F899">
        <v>111</v>
      </c>
      <c r="G899" s="2">
        <v>49.4</v>
      </c>
      <c r="H899" s="2">
        <v>164.1</v>
      </c>
      <c r="I899" s="2">
        <v>7.6</v>
      </c>
      <c r="J899" t="s">
        <v>31</v>
      </c>
      <c r="K899" s="2">
        <v>114.7</v>
      </c>
      <c r="L899" s="3">
        <v>232.2</v>
      </c>
    </row>
    <row r="900" spans="1:12" x14ac:dyDescent="0.3">
      <c r="A900">
        <v>899</v>
      </c>
      <c r="B900" t="s">
        <v>944</v>
      </c>
      <c r="C900">
        <v>1991</v>
      </c>
      <c r="D900" t="s">
        <v>17</v>
      </c>
      <c r="E900" t="s">
        <v>22</v>
      </c>
      <c r="F900">
        <v>114</v>
      </c>
      <c r="G900" s="2">
        <v>74.5</v>
      </c>
      <c r="H900" s="2">
        <v>179.7</v>
      </c>
      <c r="I900" s="2">
        <v>7.1</v>
      </c>
      <c r="J900" t="s">
        <v>31</v>
      </c>
      <c r="K900" s="2">
        <v>105.2</v>
      </c>
      <c r="L900" s="3">
        <v>141.19999999999999</v>
      </c>
    </row>
    <row r="901" spans="1:12" x14ac:dyDescent="0.3">
      <c r="A901">
        <v>900</v>
      </c>
      <c r="B901" t="s">
        <v>945</v>
      </c>
      <c r="C901">
        <v>1999</v>
      </c>
      <c r="D901" t="s">
        <v>47</v>
      </c>
      <c r="E901" t="s">
        <v>22</v>
      </c>
      <c r="F901">
        <v>138</v>
      </c>
      <c r="G901" s="2">
        <v>24.8</v>
      </c>
      <c r="H901" s="2">
        <v>149.1</v>
      </c>
      <c r="I901" s="2">
        <v>8.4</v>
      </c>
      <c r="J901" t="s">
        <v>91</v>
      </c>
      <c r="K901" s="2">
        <v>124.3</v>
      </c>
      <c r="L901" s="3">
        <v>501.2</v>
      </c>
    </row>
    <row r="902" spans="1:12" x14ac:dyDescent="0.3">
      <c r="A902">
        <v>901</v>
      </c>
      <c r="B902" t="s">
        <v>946</v>
      </c>
      <c r="C902">
        <v>1995</v>
      </c>
      <c r="D902" t="s">
        <v>65</v>
      </c>
      <c r="E902" t="s">
        <v>18</v>
      </c>
      <c r="F902">
        <v>144</v>
      </c>
      <c r="G902" s="2">
        <v>5.0999999999999996</v>
      </c>
      <c r="H902" s="2">
        <v>4.0999999999999996</v>
      </c>
      <c r="I902" s="2">
        <v>7.1</v>
      </c>
      <c r="J902" t="s">
        <v>19</v>
      </c>
      <c r="K902" s="2">
        <v>-1</v>
      </c>
      <c r="L902" s="3">
        <v>-19.600000000000001</v>
      </c>
    </row>
    <row r="903" spans="1:12" x14ac:dyDescent="0.3">
      <c r="A903">
        <v>902</v>
      </c>
      <c r="B903" t="s">
        <v>947</v>
      </c>
      <c r="C903">
        <v>2023</v>
      </c>
      <c r="D903" t="s">
        <v>65</v>
      </c>
      <c r="E903" t="s">
        <v>22</v>
      </c>
      <c r="F903">
        <v>172</v>
      </c>
      <c r="G903" s="2">
        <v>22.7</v>
      </c>
      <c r="H903" s="2">
        <v>61.8</v>
      </c>
      <c r="I903" s="2">
        <v>4.2</v>
      </c>
      <c r="J903" t="s">
        <v>40</v>
      </c>
      <c r="K903" s="2">
        <v>39.1</v>
      </c>
      <c r="L903" s="3">
        <v>172.2</v>
      </c>
    </row>
    <row r="904" spans="1:12" x14ac:dyDescent="0.3">
      <c r="A904">
        <v>903</v>
      </c>
      <c r="B904" t="s">
        <v>948</v>
      </c>
      <c r="C904">
        <v>2006</v>
      </c>
      <c r="D904" t="s">
        <v>65</v>
      </c>
      <c r="E904" t="s">
        <v>22</v>
      </c>
      <c r="F904">
        <v>121</v>
      </c>
      <c r="G904" s="2">
        <v>69.8</v>
      </c>
      <c r="H904" s="2">
        <v>248.4</v>
      </c>
      <c r="I904" s="2">
        <v>8.5</v>
      </c>
      <c r="J904" t="s">
        <v>37</v>
      </c>
      <c r="K904" s="2">
        <v>178.6</v>
      </c>
      <c r="L904" s="3">
        <v>255.9</v>
      </c>
    </row>
    <row r="905" spans="1:12" x14ac:dyDescent="0.3">
      <c r="A905">
        <v>904</v>
      </c>
      <c r="B905" t="s">
        <v>949</v>
      </c>
      <c r="C905">
        <v>2015</v>
      </c>
      <c r="D905" t="s">
        <v>27</v>
      </c>
      <c r="E905" t="s">
        <v>22</v>
      </c>
      <c r="F905">
        <v>155</v>
      </c>
      <c r="G905" s="2">
        <v>31.3</v>
      </c>
      <c r="H905" s="2">
        <v>135.5</v>
      </c>
      <c r="I905" s="2">
        <v>6.4</v>
      </c>
      <c r="J905" t="s">
        <v>91</v>
      </c>
      <c r="K905" s="2">
        <v>104.2</v>
      </c>
      <c r="L905" s="3">
        <v>332.9</v>
      </c>
    </row>
    <row r="906" spans="1:12" x14ac:dyDescent="0.3">
      <c r="A906">
        <v>905</v>
      </c>
      <c r="B906" t="s">
        <v>950</v>
      </c>
      <c r="C906">
        <v>2010</v>
      </c>
      <c r="D906" t="s">
        <v>25</v>
      </c>
      <c r="E906" t="s">
        <v>18</v>
      </c>
      <c r="F906">
        <v>105</v>
      </c>
      <c r="G906" s="2">
        <v>8.5</v>
      </c>
      <c r="H906" s="2">
        <v>9.9</v>
      </c>
      <c r="I906" s="2">
        <v>7.1</v>
      </c>
      <c r="J906" t="s">
        <v>59</v>
      </c>
      <c r="K906" s="2">
        <v>1.4</v>
      </c>
      <c r="L906" s="3">
        <v>16.5</v>
      </c>
    </row>
    <row r="907" spans="1:12" x14ac:dyDescent="0.3">
      <c r="A907">
        <v>906</v>
      </c>
      <c r="B907" t="s">
        <v>951</v>
      </c>
      <c r="C907">
        <v>1999</v>
      </c>
      <c r="D907" t="s">
        <v>25</v>
      </c>
      <c r="E907" t="s">
        <v>22</v>
      </c>
      <c r="F907">
        <v>143</v>
      </c>
      <c r="G907" s="2">
        <v>28.5</v>
      </c>
      <c r="H907" s="2">
        <v>62.2</v>
      </c>
      <c r="I907" s="2">
        <v>6.5</v>
      </c>
      <c r="J907" t="s">
        <v>34</v>
      </c>
      <c r="K907" s="2">
        <v>33.700000000000003</v>
      </c>
      <c r="L907" s="3">
        <v>118.2</v>
      </c>
    </row>
    <row r="908" spans="1:12" x14ac:dyDescent="0.3">
      <c r="A908">
        <v>907</v>
      </c>
      <c r="B908" t="s">
        <v>952</v>
      </c>
      <c r="C908">
        <v>2005</v>
      </c>
      <c r="D908" t="s">
        <v>36</v>
      </c>
      <c r="E908" t="s">
        <v>39</v>
      </c>
      <c r="F908">
        <v>119</v>
      </c>
      <c r="G908" s="2">
        <v>32.700000000000003</v>
      </c>
      <c r="H908" s="2">
        <v>107.8</v>
      </c>
      <c r="I908" s="2">
        <v>7.7</v>
      </c>
      <c r="J908" t="s">
        <v>51</v>
      </c>
      <c r="K908" s="2">
        <v>75.099999999999994</v>
      </c>
      <c r="L908" s="3">
        <v>229.7</v>
      </c>
    </row>
    <row r="909" spans="1:12" x14ac:dyDescent="0.3">
      <c r="A909">
        <v>908</v>
      </c>
      <c r="B909" t="s">
        <v>953</v>
      </c>
      <c r="C909">
        <v>2014</v>
      </c>
      <c r="D909" t="s">
        <v>65</v>
      </c>
      <c r="E909" t="s">
        <v>22</v>
      </c>
      <c r="F909">
        <v>122</v>
      </c>
      <c r="G909" s="2">
        <v>80.7</v>
      </c>
      <c r="H909" s="2">
        <v>129.6</v>
      </c>
      <c r="I909" s="2">
        <v>7.5</v>
      </c>
      <c r="J909" t="s">
        <v>31</v>
      </c>
      <c r="K909" s="2">
        <v>48.9</v>
      </c>
      <c r="L909" s="3">
        <v>60.6</v>
      </c>
    </row>
    <row r="910" spans="1:12" x14ac:dyDescent="0.3">
      <c r="A910">
        <v>909</v>
      </c>
      <c r="B910" t="s">
        <v>954</v>
      </c>
      <c r="C910">
        <v>2015</v>
      </c>
      <c r="D910" t="s">
        <v>17</v>
      </c>
      <c r="E910" t="s">
        <v>22</v>
      </c>
      <c r="F910">
        <v>140</v>
      </c>
      <c r="G910" s="2">
        <v>86.8</v>
      </c>
      <c r="H910" s="2">
        <v>121.8</v>
      </c>
      <c r="I910" s="2">
        <v>7.7</v>
      </c>
      <c r="J910" t="s">
        <v>40</v>
      </c>
      <c r="K910" s="2">
        <v>35</v>
      </c>
      <c r="L910" s="3">
        <v>40.299999999999997</v>
      </c>
    </row>
    <row r="911" spans="1:12" x14ac:dyDescent="0.3">
      <c r="A911">
        <v>910</v>
      </c>
      <c r="B911" t="s">
        <v>955</v>
      </c>
      <c r="C911">
        <v>2004</v>
      </c>
      <c r="D911" t="s">
        <v>17</v>
      </c>
      <c r="E911" t="s">
        <v>22</v>
      </c>
      <c r="F911">
        <v>75</v>
      </c>
      <c r="G911" s="2">
        <v>186.8</v>
      </c>
      <c r="H911" s="2">
        <v>630</v>
      </c>
      <c r="I911" s="2">
        <v>6.9</v>
      </c>
      <c r="J911" t="s">
        <v>28</v>
      </c>
      <c r="K911" s="2">
        <v>443.2</v>
      </c>
      <c r="L911" s="3">
        <v>237.3</v>
      </c>
    </row>
    <row r="912" spans="1:12" x14ac:dyDescent="0.3">
      <c r="A912">
        <v>911</v>
      </c>
      <c r="B912" t="s">
        <v>956</v>
      </c>
      <c r="C912">
        <v>2021</v>
      </c>
      <c r="D912" t="s">
        <v>17</v>
      </c>
      <c r="E912" t="s">
        <v>127</v>
      </c>
      <c r="F912">
        <v>136</v>
      </c>
      <c r="G912" s="2">
        <v>36.200000000000003</v>
      </c>
      <c r="H912" s="2">
        <v>137.69999999999999</v>
      </c>
      <c r="I912" s="2">
        <v>7</v>
      </c>
      <c r="J912" t="s">
        <v>51</v>
      </c>
      <c r="K912" s="2">
        <v>101.5</v>
      </c>
      <c r="L912" s="3">
        <v>280.39999999999998</v>
      </c>
    </row>
    <row r="913" spans="1:12" x14ac:dyDescent="0.3">
      <c r="A913">
        <v>912</v>
      </c>
      <c r="B913" t="s">
        <v>957</v>
      </c>
      <c r="C913">
        <v>2004</v>
      </c>
      <c r="D913" t="s">
        <v>45</v>
      </c>
      <c r="E913" t="s">
        <v>22</v>
      </c>
      <c r="F913">
        <v>116</v>
      </c>
      <c r="G913" s="2">
        <v>59.8</v>
      </c>
      <c r="H913" s="2">
        <v>218.4</v>
      </c>
      <c r="I913" s="2">
        <v>6.7</v>
      </c>
      <c r="J913" t="s">
        <v>40</v>
      </c>
      <c r="K913" s="2">
        <v>158.6</v>
      </c>
      <c r="L913" s="3">
        <v>265.2</v>
      </c>
    </row>
    <row r="914" spans="1:12" x14ac:dyDescent="0.3">
      <c r="A914">
        <v>913</v>
      </c>
      <c r="B914" t="s">
        <v>958</v>
      </c>
      <c r="C914">
        <v>2017</v>
      </c>
      <c r="D914" t="s">
        <v>21</v>
      </c>
      <c r="E914" t="s">
        <v>22</v>
      </c>
      <c r="F914">
        <v>115</v>
      </c>
      <c r="G914" s="2">
        <v>35.200000000000003</v>
      </c>
      <c r="H914" s="2">
        <v>52.5</v>
      </c>
      <c r="I914" s="2">
        <v>4</v>
      </c>
      <c r="J914" t="s">
        <v>31</v>
      </c>
      <c r="K914" s="2">
        <v>17.3</v>
      </c>
      <c r="L914" s="3">
        <v>49.1</v>
      </c>
    </row>
    <row r="915" spans="1:12" x14ac:dyDescent="0.3">
      <c r="A915">
        <v>914</v>
      </c>
      <c r="B915" t="s">
        <v>959</v>
      </c>
      <c r="C915">
        <v>2001</v>
      </c>
      <c r="D915" t="s">
        <v>25</v>
      </c>
      <c r="E915" t="s">
        <v>18</v>
      </c>
      <c r="F915">
        <v>116</v>
      </c>
      <c r="G915" s="2">
        <v>31.9</v>
      </c>
      <c r="H915" s="2">
        <v>87.2</v>
      </c>
      <c r="I915" s="2">
        <v>5.7</v>
      </c>
      <c r="J915" t="s">
        <v>68</v>
      </c>
      <c r="K915" s="2">
        <v>55.3</v>
      </c>
      <c r="L915" s="3">
        <v>173.4</v>
      </c>
    </row>
    <row r="916" spans="1:12" x14ac:dyDescent="0.3">
      <c r="A916">
        <v>915</v>
      </c>
      <c r="B916" t="s">
        <v>960</v>
      </c>
      <c r="C916">
        <v>2003</v>
      </c>
      <c r="D916" t="s">
        <v>27</v>
      </c>
      <c r="E916" t="s">
        <v>22</v>
      </c>
      <c r="F916">
        <v>99</v>
      </c>
      <c r="G916" s="2">
        <v>91</v>
      </c>
      <c r="H916" s="2">
        <v>57.2</v>
      </c>
      <c r="I916" s="2">
        <v>7.4</v>
      </c>
      <c r="J916" t="s">
        <v>91</v>
      </c>
      <c r="K916" s="2">
        <v>-33.799999999999997</v>
      </c>
      <c r="L916" s="3">
        <v>-37.1</v>
      </c>
    </row>
    <row r="917" spans="1:12" x14ac:dyDescent="0.3">
      <c r="A917">
        <v>916</v>
      </c>
      <c r="B917" t="s">
        <v>961</v>
      </c>
      <c r="C917">
        <v>2023</v>
      </c>
      <c r="D917" t="s">
        <v>65</v>
      </c>
      <c r="E917" t="s">
        <v>30</v>
      </c>
      <c r="F917">
        <v>99</v>
      </c>
      <c r="G917" s="2">
        <v>50.2</v>
      </c>
      <c r="H917" s="2">
        <v>165.4</v>
      </c>
      <c r="I917" s="2">
        <v>7.3</v>
      </c>
      <c r="J917" t="s">
        <v>34</v>
      </c>
      <c r="K917" s="2">
        <v>115.2</v>
      </c>
      <c r="L917" s="3">
        <v>229.5</v>
      </c>
    </row>
    <row r="918" spans="1:12" x14ac:dyDescent="0.3">
      <c r="A918">
        <v>917</v>
      </c>
      <c r="B918" t="s">
        <v>962</v>
      </c>
      <c r="C918">
        <v>2002</v>
      </c>
      <c r="D918" t="s">
        <v>53</v>
      </c>
      <c r="E918" t="s">
        <v>22</v>
      </c>
      <c r="F918">
        <v>113</v>
      </c>
      <c r="G918" s="2">
        <v>75.599999999999994</v>
      </c>
      <c r="H918" s="2">
        <v>81.7</v>
      </c>
      <c r="I918" s="2">
        <v>7.6</v>
      </c>
      <c r="J918" t="s">
        <v>31</v>
      </c>
      <c r="K918" s="2">
        <v>6.1</v>
      </c>
      <c r="L918" s="3">
        <v>8.1</v>
      </c>
    </row>
    <row r="919" spans="1:12" x14ac:dyDescent="0.3">
      <c r="A919">
        <v>918</v>
      </c>
      <c r="B919" t="s">
        <v>963</v>
      </c>
      <c r="C919">
        <v>2024</v>
      </c>
      <c r="D919" t="s">
        <v>53</v>
      </c>
      <c r="E919" t="s">
        <v>18</v>
      </c>
      <c r="F919">
        <v>136</v>
      </c>
      <c r="G919" s="2">
        <v>7.2</v>
      </c>
      <c r="H919" s="2">
        <v>15.2</v>
      </c>
      <c r="I919" s="2">
        <v>7.8</v>
      </c>
      <c r="J919" t="s">
        <v>48</v>
      </c>
      <c r="K919" s="2">
        <v>8</v>
      </c>
      <c r="L919" s="3">
        <v>111.1</v>
      </c>
    </row>
    <row r="920" spans="1:12" x14ac:dyDescent="0.3">
      <c r="A920">
        <v>919</v>
      </c>
      <c r="B920" t="s">
        <v>964</v>
      </c>
      <c r="C920">
        <v>1994</v>
      </c>
      <c r="D920" t="s">
        <v>25</v>
      </c>
      <c r="E920" t="s">
        <v>22</v>
      </c>
      <c r="F920">
        <v>137</v>
      </c>
      <c r="G920" s="2">
        <v>167.2</v>
      </c>
      <c r="H920" s="2">
        <v>831.9</v>
      </c>
      <c r="I920" s="2">
        <v>8</v>
      </c>
      <c r="J920" t="s">
        <v>51</v>
      </c>
      <c r="K920" s="2">
        <v>664.7</v>
      </c>
      <c r="L920" s="3">
        <v>397.5</v>
      </c>
    </row>
    <row r="921" spans="1:12" x14ac:dyDescent="0.3">
      <c r="A921">
        <v>920</v>
      </c>
      <c r="B921" t="s">
        <v>965</v>
      </c>
      <c r="C921">
        <v>1992</v>
      </c>
      <c r="D921" t="s">
        <v>65</v>
      </c>
      <c r="E921" t="s">
        <v>22</v>
      </c>
      <c r="F921">
        <v>134</v>
      </c>
      <c r="G921" s="2">
        <v>43.7</v>
      </c>
      <c r="H921" s="2">
        <v>94.5</v>
      </c>
      <c r="I921" s="2">
        <v>6.2</v>
      </c>
      <c r="J921" t="s">
        <v>37</v>
      </c>
      <c r="K921" s="2">
        <v>50.8</v>
      </c>
      <c r="L921" s="3">
        <v>116.2</v>
      </c>
    </row>
    <row r="922" spans="1:12" x14ac:dyDescent="0.3">
      <c r="A922">
        <v>921</v>
      </c>
      <c r="B922" t="s">
        <v>966</v>
      </c>
      <c r="C922">
        <v>2019</v>
      </c>
      <c r="D922" t="s">
        <v>13</v>
      </c>
      <c r="E922" t="s">
        <v>33</v>
      </c>
      <c r="F922">
        <v>118</v>
      </c>
      <c r="G922" s="2">
        <v>25.3</v>
      </c>
      <c r="H922" s="2">
        <v>23.8</v>
      </c>
      <c r="I922" s="2">
        <v>5.3</v>
      </c>
      <c r="J922" t="s">
        <v>31</v>
      </c>
      <c r="K922" s="2">
        <v>-1.5</v>
      </c>
      <c r="L922" s="3">
        <v>-5.9</v>
      </c>
    </row>
    <row r="923" spans="1:12" x14ac:dyDescent="0.3">
      <c r="A923">
        <v>922</v>
      </c>
      <c r="B923" t="s">
        <v>967</v>
      </c>
      <c r="C923">
        <v>1993</v>
      </c>
      <c r="D923" t="s">
        <v>53</v>
      </c>
      <c r="E923" t="s">
        <v>22</v>
      </c>
      <c r="F923">
        <v>157</v>
      </c>
      <c r="G923" s="2">
        <v>175.8</v>
      </c>
      <c r="H923" s="2">
        <v>174.9</v>
      </c>
      <c r="I923" s="2">
        <v>8.8000000000000007</v>
      </c>
      <c r="J923" t="s">
        <v>34</v>
      </c>
      <c r="K923" s="2">
        <v>-0.9</v>
      </c>
      <c r="L923" s="3">
        <v>-0.5</v>
      </c>
    </row>
    <row r="924" spans="1:12" x14ac:dyDescent="0.3">
      <c r="A924">
        <v>923</v>
      </c>
      <c r="B924" t="s">
        <v>968</v>
      </c>
      <c r="C924">
        <v>2016</v>
      </c>
      <c r="D924" t="s">
        <v>25</v>
      </c>
      <c r="E924" t="s">
        <v>22</v>
      </c>
      <c r="F924">
        <v>143</v>
      </c>
      <c r="G924" s="2">
        <v>101.4</v>
      </c>
      <c r="H924" s="2">
        <v>60.9</v>
      </c>
      <c r="I924" s="2">
        <v>9</v>
      </c>
      <c r="J924" t="s">
        <v>57</v>
      </c>
      <c r="K924" s="2">
        <v>-40.5</v>
      </c>
      <c r="L924" s="3">
        <v>-39.9</v>
      </c>
    </row>
    <row r="925" spans="1:12" x14ac:dyDescent="0.3">
      <c r="A925">
        <v>924</v>
      </c>
      <c r="B925" t="s">
        <v>969</v>
      </c>
      <c r="C925">
        <v>2003</v>
      </c>
      <c r="D925" t="s">
        <v>21</v>
      </c>
      <c r="E925" t="s">
        <v>18</v>
      </c>
      <c r="F925">
        <v>113</v>
      </c>
      <c r="G925" s="2">
        <v>7.6</v>
      </c>
      <c r="H925" s="2">
        <v>10.5</v>
      </c>
      <c r="I925" s="2">
        <v>6.2</v>
      </c>
      <c r="J925" t="s">
        <v>19</v>
      </c>
      <c r="K925" s="2">
        <v>2.9</v>
      </c>
      <c r="L925" s="3">
        <v>38.200000000000003</v>
      </c>
    </row>
    <row r="926" spans="1:12" x14ac:dyDescent="0.3">
      <c r="A926">
        <v>925</v>
      </c>
      <c r="B926" t="s">
        <v>970</v>
      </c>
      <c r="C926">
        <v>2018</v>
      </c>
      <c r="D926" t="s">
        <v>25</v>
      </c>
      <c r="E926" t="s">
        <v>22</v>
      </c>
      <c r="F926">
        <v>115</v>
      </c>
      <c r="G926" s="2">
        <v>44.6</v>
      </c>
      <c r="H926" s="2">
        <v>112.9</v>
      </c>
      <c r="I926" s="2">
        <v>8.5</v>
      </c>
      <c r="J926" t="s">
        <v>28</v>
      </c>
      <c r="K926" s="2">
        <v>68.3</v>
      </c>
      <c r="L926" s="3">
        <v>153.1</v>
      </c>
    </row>
    <row r="927" spans="1:12" x14ac:dyDescent="0.3">
      <c r="A927">
        <v>926</v>
      </c>
      <c r="B927" t="s">
        <v>971</v>
      </c>
      <c r="C927">
        <v>2017</v>
      </c>
      <c r="D927" t="s">
        <v>47</v>
      </c>
      <c r="E927" t="s">
        <v>22</v>
      </c>
      <c r="F927">
        <v>127</v>
      </c>
      <c r="G927" s="2">
        <v>55.3</v>
      </c>
      <c r="H927" s="2">
        <v>153.30000000000001</v>
      </c>
      <c r="I927" s="2">
        <v>6</v>
      </c>
      <c r="J927" t="s">
        <v>31</v>
      </c>
      <c r="K927" s="2">
        <v>98</v>
      </c>
      <c r="L927" s="3">
        <v>177.2</v>
      </c>
    </row>
    <row r="928" spans="1:12" x14ac:dyDescent="0.3">
      <c r="A928">
        <v>927</v>
      </c>
      <c r="B928" t="s">
        <v>972</v>
      </c>
      <c r="C928">
        <v>2004</v>
      </c>
      <c r="D928" t="s">
        <v>17</v>
      </c>
      <c r="E928" t="s">
        <v>22</v>
      </c>
      <c r="F928">
        <v>112</v>
      </c>
      <c r="G928" s="2">
        <v>41.2</v>
      </c>
      <c r="H928" s="2">
        <v>135.9</v>
      </c>
      <c r="I928" s="2">
        <v>7.6</v>
      </c>
      <c r="J928" t="s">
        <v>34</v>
      </c>
      <c r="K928" s="2">
        <v>94.7</v>
      </c>
      <c r="L928" s="3">
        <v>229.9</v>
      </c>
    </row>
    <row r="929" spans="1:12" x14ac:dyDescent="0.3">
      <c r="A929">
        <v>928</v>
      </c>
      <c r="B929" t="s">
        <v>973</v>
      </c>
      <c r="C929">
        <v>2013</v>
      </c>
      <c r="D929" t="s">
        <v>45</v>
      </c>
      <c r="E929" t="s">
        <v>18</v>
      </c>
      <c r="F929">
        <v>75</v>
      </c>
      <c r="G929" s="2">
        <v>29.9</v>
      </c>
      <c r="H929" s="2">
        <v>36.6</v>
      </c>
      <c r="I929" s="2">
        <v>8</v>
      </c>
      <c r="J929" t="s">
        <v>68</v>
      </c>
      <c r="K929" s="2">
        <v>6.7</v>
      </c>
      <c r="L929" s="3">
        <v>22.4</v>
      </c>
    </row>
    <row r="930" spans="1:12" x14ac:dyDescent="0.3">
      <c r="A930">
        <v>929</v>
      </c>
      <c r="B930" t="s">
        <v>974</v>
      </c>
      <c r="C930">
        <v>1996</v>
      </c>
      <c r="D930" t="s">
        <v>36</v>
      </c>
      <c r="E930" t="s">
        <v>39</v>
      </c>
      <c r="F930">
        <v>128</v>
      </c>
      <c r="G930" s="2">
        <v>38.799999999999997</v>
      </c>
      <c r="H930" s="2">
        <v>68.7</v>
      </c>
      <c r="I930" s="2">
        <v>7.9</v>
      </c>
      <c r="J930" t="s">
        <v>91</v>
      </c>
      <c r="K930" s="2">
        <v>29.9</v>
      </c>
      <c r="L930" s="3">
        <v>77.099999999999994</v>
      </c>
    </row>
    <row r="931" spans="1:12" x14ac:dyDescent="0.3">
      <c r="A931">
        <v>930</v>
      </c>
      <c r="B931" t="s">
        <v>975</v>
      </c>
      <c r="C931">
        <v>1994</v>
      </c>
      <c r="D931" t="s">
        <v>27</v>
      </c>
      <c r="E931" t="s">
        <v>14</v>
      </c>
      <c r="F931">
        <v>109</v>
      </c>
      <c r="G931" s="2">
        <v>142.1</v>
      </c>
      <c r="H931" s="2">
        <v>705.9</v>
      </c>
      <c r="I931" s="2">
        <v>6.7</v>
      </c>
      <c r="J931" t="s">
        <v>15</v>
      </c>
      <c r="K931" s="2">
        <v>563.79999999999995</v>
      </c>
      <c r="L931" s="3">
        <v>396.8</v>
      </c>
    </row>
    <row r="932" spans="1:12" x14ac:dyDescent="0.3">
      <c r="A932">
        <v>931</v>
      </c>
      <c r="B932" t="s">
        <v>976</v>
      </c>
      <c r="C932">
        <v>2007</v>
      </c>
      <c r="D932" t="s">
        <v>27</v>
      </c>
      <c r="E932" t="s">
        <v>22</v>
      </c>
      <c r="F932">
        <v>143</v>
      </c>
      <c r="G932" s="2">
        <v>115.4</v>
      </c>
      <c r="H932" s="2">
        <v>637.29999999999995</v>
      </c>
      <c r="I932" s="2">
        <v>6.8</v>
      </c>
      <c r="J932" t="s">
        <v>57</v>
      </c>
      <c r="K932" s="2">
        <v>521.9</v>
      </c>
      <c r="L932" s="3">
        <v>452.3</v>
      </c>
    </row>
    <row r="933" spans="1:12" x14ac:dyDescent="0.3">
      <c r="A933">
        <v>932</v>
      </c>
      <c r="B933" t="s">
        <v>977</v>
      </c>
      <c r="C933">
        <v>2005</v>
      </c>
      <c r="D933" t="s">
        <v>36</v>
      </c>
      <c r="E933" t="s">
        <v>22</v>
      </c>
      <c r="F933">
        <v>142</v>
      </c>
      <c r="G933" s="2">
        <v>35</v>
      </c>
      <c r="H933" s="2">
        <v>17.2</v>
      </c>
      <c r="I933" s="2">
        <v>6.4</v>
      </c>
      <c r="J933" t="s">
        <v>31</v>
      </c>
      <c r="K933" s="2">
        <v>-17.8</v>
      </c>
      <c r="L933" s="3">
        <v>-50.9</v>
      </c>
    </row>
    <row r="934" spans="1:12" x14ac:dyDescent="0.3">
      <c r="A934">
        <v>933</v>
      </c>
      <c r="B934" t="s">
        <v>978</v>
      </c>
      <c r="C934">
        <v>2025</v>
      </c>
      <c r="D934" t="s">
        <v>13</v>
      </c>
      <c r="E934" t="s">
        <v>18</v>
      </c>
      <c r="F934">
        <v>75</v>
      </c>
      <c r="G934" s="2">
        <v>11.2</v>
      </c>
      <c r="H934" s="2">
        <v>10</v>
      </c>
      <c r="I934" s="2">
        <v>8.1999999999999993</v>
      </c>
      <c r="J934" t="s">
        <v>19</v>
      </c>
      <c r="K934" s="2">
        <v>-1.2</v>
      </c>
      <c r="L934" s="3">
        <v>-10.7</v>
      </c>
    </row>
    <row r="935" spans="1:12" x14ac:dyDescent="0.3">
      <c r="A935">
        <v>934</v>
      </c>
      <c r="B935" t="s">
        <v>979</v>
      </c>
      <c r="C935">
        <v>2009</v>
      </c>
      <c r="D935" t="s">
        <v>65</v>
      </c>
      <c r="E935" t="s">
        <v>22</v>
      </c>
      <c r="F935">
        <v>102</v>
      </c>
      <c r="G935" s="2">
        <v>68.099999999999994</v>
      </c>
      <c r="H935" s="2">
        <v>86.4</v>
      </c>
      <c r="I935" s="2">
        <v>6.5</v>
      </c>
      <c r="J935" t="s">
        <v>40</v>
      </c>
      <c r="K935" s="2">
        <v>18.3</v>
      </c>
      <c r="L935" s="3">
        <v>26.9</v>
      </c>
    </row>
    <row r="936" spans="1:12" x14ac:dyDescent="0.3">
      <c r="A936">
        <v>935</v>
      </c>
      <c r="B936" t="s">
        <v>980</v>
      </c>
      <c r="C936">
        <v>2022</v>
      </c>
      <c r="D936" t="s">
        <v>17</v>
      </c>
      <c r="E936" t="s">
        <v>18</v>
      </c>
      <c r="F936">
        <v>106</v>
      </c>
      <c r="G936" s="2">
        <v>15.5</v>
      </c>
      <c r="H936" s="2">
        <v>45.2</v>
      </c>
      <c r="I936" s="2">
        <v>7.7</v>
      </c>
      <c r="J936" t="s">
        <v>75</v>
      </c>
      <c r="K936" s="2">
        <v>29.7</v>
      </c>
      <c r="L936" s="3">
        <v>191.6</v>
      </c>
    </row>
    <row r="937" spans="1:12" x14ac:dyDescent="0.3">
      <c r="A937">
        <v>936</v>
      </c>
      <c r="B937" t="s">
        <v>981</v>
      </c>
      <c r="C937">
        <v>2004</v>
      </c>
      <c r="D937" t="s">
        <v>45</v>
      </c>
      <c r="E937" t="s">
        <v>22</v>
      </c>
      <c r="F937">
        <v>122</v>
      </c>
      <c r="G937" s="2">
        <v>106.2</v>
      </c>
      <c r="H937" s="2">
        <v>342.7</v>
      </c>
      <c r="I937" s="2">
        <v>6.4</v>
      </c>
      <c r="J937" t="s">
        <v>57</v>
      </c>
      <c r="K937" s="2">
        <v>236.5</v>
      </c>
      <c r="L937" s="3">
        <v>222.7</v>
      </c>
    </row>
    <row r="938" spans="1:12" x14ac:dyDescent="0.3">
      <c r="A938">
        <v>937</v>
      </c>
      <c r="B938" t="s">
        <v>982</v>
      </c>
      <c r="C938">
        <v>2003</v>
      </c>
      <c r="D938" t="s">
        <v>21</v>
      </c>
      <c r="E938" t="s">
        <v>22</v>
      </c>
      <c r="F938">
        <v>147</v>
      </c>
      <c r="G938" s="2">
        <v>20.2</v>
      </c>
      <c r="H938" s="2">
        <v>105.5</v>
      </c>
      <c r="I938" s="2">
        <v>7.3</v>
      </c>
      <c r="J938" t="s">
        <v>37</v>
      </c>
      <c r="K938" s="2">
        <v>85.3</v>
      </c>
      <c r="L938" s="3">
        <v>422.3</v>
      </c>
    </row>
    <row r="939" spans="1:12" x14ac:dyDescent="0.3">
      <c r="A939">
        <v>938</v>
      </c>
      <c r="B939" t="s">
        <v>983</v>
      </c>
      <c r="C939">
        <v>2019</v>
      </c>
      <c r="D939" t="s">
        <v>25</v>
      </c>
      <c r="E939" t="s">
        <v>33</v>
      </c>
      <c r="F939">
        <v>137</v>
      </c>
      <c r="G939" s="2">
        <v>30.7</v>
      </c>
      <c r="H939" s="2">
        <v>72.900000000000006</v>
      </c>
      <c r="I939" s="2">
        <v>7.1</v>
      </c>
      <c r="J939" t="s">
        <v>51</v>
      </c>
      <c r="K939" s="2">
        <v>42.2</v>
      </c>
      <c r="L939" s="3">
        <v>137.5</v>
      </c>
    </row>
    <row r="940" spans="1:12" x14ac:dyDescent="0.3">
      <c r="A940">
        <v>939</v>
      </c>
      <c r="B940" t="s">
        <v>984</v>
      </c>
      <c r="C940">
        <v>2025</v>
      </c>
      <c r="D940" t="s">
        <v>45</v>
      </c>
      <c r="E940" t="s">
        <v>18</v>
      </c>
      <c r="F940">
        <v>114</v>
      </c>
      <c r="G940" s="2">
        <v>20.3</v>
      </c>
      <c r="H940" s="2">
        <v>27.4</v>
      </c>
      <c r="I940" s="2">
        <v>6.1</v>
      </c>
      <c r="J940" t="s">
        <v>48</v>
      </c>
      <c r="K940" s="2">
        <v>7.1</v>
      </c>
      <c r="L940" s="3">
        <v>35</v>
      </c>
    </row>
    <row r="941" spans="1:12" x14ac:dyDescent="0.3">
      <c r="A941">
        <v>940</v>
      </c>
      <c r="B941" t="s">
        <v>985</v>
      </c>
      <c r="C941">
        <v>1990</v>
      </c>
      <c r="D941" t="s">
        <v>65</v>
      </c>
      <c r="E941" t="s">
        <v>22</v>
      </c>
      <c r="F941">
        <v>119</v>
      </c>
      <c r="G941" s="2">
        <v>76.3</v>
      </c>
      <c r="H941" s="2">
        <v>200.4</v>
      </c>
      <c r="I941" s="2">
        <v>7.6</v>
      </c>
      <c r="J941" t="s">
        <v>51</v>
      </c>
      <c r="K941" s="2">
        <v>124.1</v>
      </c>
      <c r="L941" s="3">
        <v>162.6</v>
      </c>
    </row>
    <row r="942" spans="1:12" x14ac:dyDescent="0.3">
      <c r="A942">
        <v>941</v>
      </c>
      <c r="B942" t="s">
        <v>986</v>
      </c>
      <c r="C942">
        <v>1995</v>
      </c>
      <c r="D942" t="s">
        <v>25</v>
      </c>
      <c r="E942" t="s">
        <v>33</v>
      </c>
      <c r="F942">
        <v>138</v>
      </c>
      <c r="G942" s="2">
        <v>28.9</v>
      </c>
      <c r="H942" s="2">
        <v>107.5</v>
      </c>
      <c r="I942" s="2">
        <v>6.1</v>
      </c>
      <c r="J942" t="s">
        <v>57</v>
      </c>
      <c r="K942" s="2">
        <v>78.599999999999994</v>
      </c>
      <c r="L942" s="3">
        <v>272</v>
      </c>
    </row>
    <row r="943" spans="1:12" x14ac:dyDescent="0.3">
      <c r="A943">
        <v>942</v>
      </c>
      <c r="B943" t="s">
        <v>987</v>
      </c>
      <c r="C943">
        <v>2010</v>
      </c>
      <c r="D943" t="s">
        <v>53</v>
      </c>
      <c r="E943" t="s">
        <v>22</v>
      </c>
      <c r="F943">
        <v>154</v>
      </c>
      <c r="G943" s="2">
        <v>63.1</v>
      </c>
      <c r="H943" s="2">
        <v>195.2</v>
      </c>
      <c r="I943" s="2">
        <v>6</v>
      </c>
      <c r="J943" t="s">
        <v>40</v>
      </c>
      <c r="K943" s="2">
        <v>132.1</v>
      </c>
      <c r="L943" s="3">
        <v>209.4</v>
      </c>
    </row>
    <row r="944" spans="1:12" x14ac:dyDescent="0.3">
      <c r="A944">
        <v>943</v>
      </c>
      <c r="B944" t="s">
        <v>988</v>
      </c>
      <c r="C944">
        <v>1995</v>
      </c>
      <c r="D944" t="s">
        <v>25</v>
      </c>
      <c r="E944" t="s">
        <v>22</v>
      </c>
      <c r="F944">
        <v>161</v>
      </c>
      <c r="G944" s="2">
        <v>52.3</v>
      </c>
      <c r="H944" s="2">
        <v>186.8</v>
      </c>
      <c r="I944" s="2">
        <v>7.8</v>
      </c>
      <c r="J944" t="s">
        <v>28</v>
      </c>
      <c r="K944" s="2">
        <v>134.5</v>
      </c>
      <c r="L944" s="3">
        <v>257.2</v>
      </c>
    </row>
    <row r="945" spans="1:12" x14ac:dyDescent="0.3">
      <c r="A945">
        <v>944</v>
      </c>
      <c r="B945" t="s">
        <v>989</v>
      </c>
      <c r="C945">
        <v>2024</v>
      </c>
      <c r="D945" t="s">
        <v>17</v>
      </c>
      <c r="E945" t="s">
        <v>18</v>
      </c>
      <c r="F945">
        <v>131</v>
      </c>
      <c r="G945" s="2">
        <v>26.3</v>
      </c>
      <c r="H945" s="2">
        <v>66.099999999999994</v>
      </c>
      <c r="I945" s="2">
        <v>7</v>
      </c>
      <c r="J945" t="s">
        <v>68</v>
      </c>
      <c r="K945" s="2">
        <v>39.799999999999997</v>
      </c>
      <c r="L945" s="3">
        <v>151.30000000000001</v>
      </c>
    </row>
    <row r="946" spans="1:12" x14ac:dyDescent="0.3">
      <c r="A946">
        <v>945</v>
      </c>
      <c r="B946" t="s">
        <v>990</v>
      </c>
      <c r="C946">
        <v>1994</v>
      </c>
      <c r="D946" t="s">
        <v>25</v>
      </c>
      <c r="E946" t="s">
        <v>127</v>
      </c>
      <c r="F946">
        <v>137</v>
      </c>
      <c r="G946" s="2">
        <v>96.6</v>
      </c>
      <c r="H946" s="2">
        <v>418.5</v>
      </c>
      <c r="I946" s="2">
        <v>7</v>
      </c>
      <c r="J946" t="s">
        <v>51</v>
      </c>
      <c r="K946" s="2">
        <v>321.89999999999998</v>
      </c>
      <c r="L946" s="3">
        <v>333.2</v>
      </c>
    </row>
    <row r="947" spans="1:12" x14ac:dyDescent="0.3">
      <c r="A947">
        <v>946</v>
      </c>
      <c r="B947" t="s">
        <v>991</v>
      </c>
      <c r="C947">
        <v>2010</v>
      </c>
      <c r="D947" t="s">
        <v>13</v>
      </c>
      <c r="E947" t="s">
        <v>14</v>
      </c>
      <c r="F947">
        <v>134</v>
      </c>
      <c r="G947" s="2">
        <v>186.5</v>
      </c>
      <c r="H947" s="2">
        <v>681.7</v>
      </c>
      <c r="I947" s="2">
        <v>7.5</v>
      </c>
      <c r="J947" t="s">
        <v>15</v>
      </c>
      <c r="K947" s="2">
        <v>495.2</v>
      </c>
      <c r="L947" s="3">
        <v>265.5</v>
      </c>
    </row>
    <row r="948" spans="1:12" x14ac:dyDescent="0.3">
      <c r="A948">
        <v>947</v>
      </c>
      <c r="B948" t="s">
        <v>992</v>
      </c>
      <c r="C948">
        <v>1998</v>
      </c>
      <c r="D948" t="s">
        <v>45</v>
      </c>
      <c r="E948" t="s">
        <v>18</v>
      </c>
      <c r="F948">
        <v>82</v>
      </c>
      <c r="G948" s="2">
        <v>8.9</v>
      </c>
      <c r="H948" s="2">
        <v>13.6</v>
      </c>
      <c r="I948" s="2">
        <v>5.7</v>
      </c>
      <c r="J948" t="s">
        <v>48</v>
      </c>
      <c r="K948" s="2">
        <v>4.7</v>
      </c>
      <c r="L948" s="3">
        <v>52.8</v>
      </c>
    </row>
    <row r="949" spans="1:12" x14ac:dyDescent="0.3">
      <c r="A949">
        <v>948</v>
      </c>
      <c r="B949" t="s">
        <v>993</v>
      </c>
      <c r="C949">
        <v>1991</v>
      </c>
      <c r="D949" t="s">
        <v>65</v>
      </c>
      <c r="E949" t="s">
        <v>18</v>
      </c>
      <c r="F949">
        <v>105</v>
      </c>
      <c r="G949" s="2">
        <v>8.3000000000000007</v>
      </c>
      <c r="H949" s="2">
        <v>4</v>
      </c>
      <c r="I949" s="2">
        <v>6.2</v>
      </c>
      <c r="J949" t="s">
        <v>48</v>
      </c>
      <c r="K949" s="2">
        <v>-4.3</v>
      </c>
      <c r="L949" s="3">
        <v>-51.8</v>
      </c>
    </row>
    <row r="950" spans="1:12" x14ac:dyDescent="0.3">
      <c r="A950">
        <v>949</v>
      </c>
      <c r="B950" t="s">
        <v>994</v>
      </c>
      <c r="C950">
        <v>2015</v>
      </c>
      <c r="D950" t="s">
        <v>25</v>
      </c>
      <c r="E950" t="s">
        <v>22</v>
      </c>
      <c r="F950">
        <v>120</v>
      </c>
      <c r="G950" s="2">
        <v>21</v>
      </c>
      <c r="H950" s="2">
        <v>54.8</v>
      </c>
      <c r="I950" s="2">
        <v>7.4</v>
      </c>
      <c r="J950" t="s">
        <v>31</v>
      </c>
      <c r="K950" s="2">
        <v>33.799999999999997</v>
      </c>
      <c r="L950" s="3">
        <v>161</v>
      </c>
    </row>
    <row r="951" spans="1:12" x14ac:dyDescent="0.3">
      <c r="A951">
        <v>950</v>
      </c>
      <c r="B951" t="s">
        <v>995</v>
      </c>
      <c r="C951">
        <v>1994</v>
      </c>
      <c r="D951" t="s">
        <v>17</v>
      </c>
      <c r="E951" t="s">
        <v>22</v>
      </c>
      <c r="F951">
        <v>137</v>
      </c>
      <c r="G951" s="2">
        <v>105.1</v>
      </c>
      <c r="H951" s="2">
        <v>388.3</v>
      </c>
      <c r="I951" s="2">
        <v>8.4</v>
      </c>
      <c r="J951" t="s">
        <v>23</v>
      </c>
      <c r="K951" s="2">
        <v>283.2</v>
      </c>
      <c r="L951" s="3">
        <v>269.5</v>
      </c>
    </row>
    <row r="952" spans="1:12" x14ac:dyDescent="0.3">
      <c r="A952">
        <v>951</v>
      </c>
      <c r="B952" t="s">
        <v>996</v>
      </c>
      <c r="C952">
        <v>2000</v>
      </c>
      <c r="D952" t="s">
        <v>17</v>
      </c>
      <c r="E952" t="s">
        <v>22</v>
      </c>
      <c r="F952">
        <v>166</v>
      </c>
      <c r="G952" s="2">
        <v>64.099999999999994</v>
      </c>
      <c r="H952" s="2">
        <v>290.10000000000002</v>
      </c>
      <c r="I952" s="2">
        <v>7.1</v>
      </c>
      <c r="J952" t="s">
        <v>51</v>
      </c>
      <c r="K952" s="2">
        <v>226</v>
      </c>
      <c r="L952" s="3">
        <v>352.6</v>
      </c>
    </row>
    <row r="953" spans="1:12" x14ac:dyDescent="0.3">
      <c r="A953">
        <v>952</v>
      </c>
      <c r="B953" t="s">
        <v>997</v>
      </c>
      <c r="C953">
        <v>2011</v>
      </c>
      <c r="D953" t="s">
        <v>45</v>
      </c>
      <c r="E953" t="s">
        <v>22</v>
      </c>
      <c r="F953">
        <v>151</v>
      </c>
      <c r="G953" s="2">
        <v>48.5</v>
      </c>
      <c r="H953" s="2">
        <v>86.5</v>
      </c>
      <c r="I953" s="2">
        <v>6.2</v>
      </c>
      <c r="J953" t="s">
        <v>91</v>
      </c>
      <c r="K953" s="2">
        <v>38</v>
      </c>
      <c r="L953" s="3">
        <v>78.400000000000006</v>
      </c>
    </row>
    <row r="954" spans="1:12" x14ac:dyDescent="0.3">
      <c r="A954">
        <v>953</v>
      </c>
      <c r="B954" t="s">
        <v>998</v>
      </c>
      <c r="C954">
        <v>1990</v>
      </c>
      <c r="D954" t="s">
        <v>17</v>
      </c>
      <c r="E954" t="s">
        <v>18</v>
      </c>
      <c r="F954">
        <v>126</v>
      </c>
      <c r="G954" s="2">
        <v>40.4</v>
      </c>
      <c r="H954" s="2">
        <v>110.2</v>
      </c>
      <c r="I954" s="2">
        <v>7.3</v>
      </c>
      <c r="J954" t="s">
        <v>68</v>
      </c>
      <c r="K954" s="2">
        <v>69.8</v>
      </c>
      <c r="L954" s="3">
        <v>172.8</v>
      </c>
    </row>
    <row r="955" spans="1:12" x14ac:dyDescent="0.3">
      <c r="A955">
        <v>954</v>
      </c>
      <c r="B955" t="s">
        <v>999</v>
      </c>
      <c r="C955">
        <v>2007</v>
      </c>
      <c r="D955" t="s">
        <v>25</v>
      </c>
      <c r="E955" t="s">
        <v>18</v>
      </c>
      <c r="F955">
        <v>125</v>
      </c>
      <c r="G955" s="2">
        <v>8.5</v>
      </c>
      <c r="H955" s="2">
        <v>16.5</v>
      </c>
      <c r="I955" s="2">
        <v>5.7</v>
      </c>
      <c r="J955" t="s">
        <v>68</v>
      </c>
      <c r="K955" s="2">
        <v>8</v>
      </c>
      <c r="L955" s="3">
        <v>94.1</v>
      </c>
    </row>
    <row r="956" spans="1:12" x14ac:dyDescent="0.3">
      <c r="A956">
        <v>955</v>
      </c>
      <c r="B956" t="s">
        <v>1000</v>
      </c>
      <c r="C956">
        <v>2011</v>
      </c>
      <c r="D956" t="s">
        <v>53</v>
      </c>
      <c r="E956" t="s">
        <v>22</v>
      </c>
      <c r="F956">
        <v>138</v>
      </c>
      <c r="G956" s="2">
        <v>98.4</v>
      </c>
      <c r="H956" s="2">
        <v>194</v>
      </c>
      <c r="I956" s="2">
        <v>8.5</v>
      </c>
      <c r="J956" t="s">
        <v>23</v>
      </c>
      <c r="K956" s="2">
        <v>95.6</v>
      </c>
      <c r="L956" s="3">
        <v>97.2</v>
      </c>
    </row>
    <row r="957" spans="1:12" x14ac:dyDescent="0.3">
      <c r="A957">
        <v>956</v>
      </c>
      <c r="B957" t="s">
        <v>1001</v>
      </c>
      <c r="C957">
        <v>2013</v>
      </c>
      <c r="D957" t="s">
        <v>65</v>
      </c>
      <c r="E957" t="s">
        <v>22</v>
      </c>
      <c r="F957">
        <v>164</v>
      </c>
      <c r="G957" s="2">
        <v>11.2</v>
      </c>
      <c r="H957" s="2">
        <v>20.6</v>
      </c>
      <c r="I957" s="2">
        <v>8.6</v>
      </c>
      <c r="J957" t="s">
        <v>91</v>
      </c>
      <c r="K957" s="2">
        <v>9.4</v>
      </c>
      <c r="L957" s="3">
        <v>83.9</v>
      </c>
    </row>
    <row r="958" spans="1:12" x14ac:dyDescent="0.3">
      <c r="A958">
        <v>957</v>
      </c>
      <c r="B958" t="s">
        <v>1002</v>
      </c>
      <c r="C958">
        <v>1996</v>
      </c>
      <c r="D958" t="s">
        <v>17</v>
      </c>
      <c r="E958" t="s">
        <v>22</v>
      </c>
      <c r="F958">
        <v>115</v>
      </c>
      <c r="G958" s="2">
        <v>24.4</v>
      </c>
      <c r="H958" s="2">
        <v>38.5</v>
      </c>
      <c r="I958" s="2">
        <v>5.5</v>
      </c>
      <c r="J958" t="s">
        <v>40</v>
      </c>
      <c r="K958" s="2">
        <v>14.1</v>
      </c>
      <c r="L958" s="3">
        <v>57.8</v>
      </c>
    </row>
    <row r="959" spans="1:12" x14ac:dyDescent="0.3">
      <c r="A959">
        <v>958</v>
      </c>
      <c r="B959" t="s">
        <v>1003</v>
      </c>
      <c r="C959">
        <v>1993</v>
      </c>
      <c r="D959" t="s">
        <v>17</v>
      </c>
      <c r="E959" t="s">
        <v>22</v>
      </c>
      <c r="F959">
        <v>154</v>
      </c>
      <c r="G959" s="2">
        <v>57</v>
      </c>
      <c r="H959" s="2">
        <v>141.9</v>
      </c>
      <c r="I959" s="2">
        <v>8</v>
      </c>
      <c r="J959" t="s">
        <v>79</v>
      </c>
      <c r="K959" s="2">
        <v>84.9</v>
      </c>
      <c r="L959" s="3">
        <v>148.9</v>
      </c>
    </row>
    <row r="960" spans="1:12" x14ac:dyDescent="0.3">
      <c r="A960">
        <v>959</v>
      </c>
      <c r="B960" t="s">
        <v>1004</v>
      </c>
      <c r="C960">
        <v>1997</v>
      </c>
      <c r="D960" t="s">
        <v>21</v>
      </c>
      <c r="E960" t="s">
        <v>22</v>
      </c>
      <c r="F960">
        <v>143</v>
      </c>
      <c r="G960" s="2">
        <v>41.5</v>
      </c>
      <c r="H960" s="2">
        <v>213.2</v>
      </c>
      <c r="I960" s="2">
        <v>7.1</v>
      </c>
      <c r="J960" t="s">
        <v>37</v>
      </c>
      <c r="K960" s="2">
        <v>171.7</v>
      </c>
      <c r="L960" s="3">
        <v>413.7</v>
      </c>
    </row>
    <row r="961" spans="1:12" x14ac:dyDescent="0.3">
      <c r="A961">
        <v>960</v>
      </c>
      <c r="B961" t="s">
        <v>1005</v>
      </c>
      <c r="C961">
        <v>1991</v>
      </c>
      <c r="D961" t="s">
        <v>25</v>
      </c>
      <c r="E961" t="s">
        <v>22</v>
      </c>
      <c r="F961">
        <v>96</v>
      </c>
      <c r="G961" s="2">
        <v>28.7</v>
      </c>
      <c r="H961" s="2">
        <v>65.5</v>
      </c>
      <c r="I961" s="2">
        <v>7.4</v>
      </c>
      <c r="J961" t="s">
        <v>79</v>
      </c>
      <c r="K961" s="2">
        <v>36.799999999999997</v>
      </c>
      <c r="L961" s="3">
        <v>128.19999999999999</v>
      </c>
    </row>
    <row r="962" spans="1:12" x14ac:dyDescent="0.3">
      <c r="A962">
        <v>961</v>
      </c>
      <c r="B962" t="s">
        <v>1006</v>
      </c>
      <c r="C962">
        <v>2012</v>
      </c>
      <c r="D962" t="s">
        <v>25</v>
      </c>
      <c r="E962" t="s">
        <v>18</v>
      </c>
      <c r="F962">
        <v>148</v>
      </c>
      <c r="G962" s="2">
        <v>3.2</v>
      </c>
      <c r="H962" s="2">
        <v>4.5999999999999996</v>
      </c>
      <c r="I962" s="2">
        <v>7</v>
      </c>
      <c r="J962" t="s">
        <v>19</v>
      </c>
      <c r="K962" s="2">
        <v>1.4</v>
      </c>
      <c r="L962" s="3">
        <v>43.7</v>
      </c>
    </row>
    <row r="963" spans="1:12" x14ac:dyDescent="0.3">
      <c r="A963">
        <v>962</v>
      </c>
      <c r="B963" t="s">
        <v>1007</v>
      </c>
      <c r="C963">
        <v>2023</v>
      </c>
      <c r="D963" t="s">
        <v>17</v>
      </c>
      <c r="E963" t="s">
        <v>22</v>
      </c>
      <c r="F963">
        <v>121</v>
      </c>
      <c r="G963" s="2">
        <v>400</v>
      </c>
      <c r="H963" s="2">
        <v>2086.5</v>
      </c>
      <c r="I963" s="2">
        <v>7.5</v>
      </c>
      <c r="J963" t="s">
        <v>57</v>
      </c>
      <c r="K963" s="2">
        <v>1686.5</v>
      </c>
      <c r="L963" s="3">
        <v>421.6</v>
      </c>
    </row>
    <row r="964" spans="1:12" x14ac:dyDescent="0.3">
      <c r="A964">
        <v>963</v>
      </c>
      <c r="B964" t="s">
        <v>1008</v>
      </c>
      <c r="C964">
        <v>1997</v>
      </c>
      <c r="D964" t="s">
        <v>27</v>
      </c>
      <c r="E964" t="s">
        <v>14</v>
      </c>
      <c r="F964">
        <v>156</v>
      </c>
      <c r="G964" s="2">
        <v>99.1</v>
      </c>
      <c r="H964" s="2">
        <v>385.7</v>
      </c>
      <c r="I964" s="2">
        <v>7.4</v>
      </c>
      <c r="J964" t="s">
        <v>15</v>
      </c>
      <c r="K964" s="2">
        <v>286.60000000000002</v>
      </c>
      <c r="L964" s="3">
        <v>289.2</v>
      </c>
    </row>
    <row r="965" spans="1:12" x14ac:dyDescent="0.3">
      <c r="A965">
        <v>964</v>
      </c>
      <c r="B965" t="s">
        <v>1009</v>
      </c>
      <c r="C965">
        <v>2004</v>
      </c>
      <c r="D965" t="s">
        <v>45</v>
      </c>
      <c r="E965" t="s">
        <v>22</v>
      </c>
      <c r="F965">
        <v>130</v>
      </c>
      <c r="G965" s="2">
        <v>40.9</v>
      </c>
      <c r="H965" s="2">
        <v>128.4</v>
      </c>
      <c r="I965" s="2">
        <v>7.9</v>
      </c>
      <c r="J965" t="s">
        <v>40</v>
      </c>
      <c r="K965" s="2">
        <v>87.5</v>
      </c>
      <c r="L965" s="3">
        <v>213.9</v>
      </c>
    </row>
    <row r="966" spans="1:12" x14ac:dyDescent="0.3">
      <c r="A966">
        <v>965</v>
      </c>
      <c r="B966" t="s">
        <v>1010</v>
      </c>
      <c r="C966">
        <v>2024</v>
      </c>
      <c r="D966" t="s">
        <v>47</v>
      </c>
      <c r="E966" t="s">
        <v>18</v>
      </c>
      <c r="F966">
        <v>136</v>
      </c>
      <c r="G966" s="2">
        <v>9.8000000000000007</v>
      </c>
      <c r="H966" s="2">
        <v>38.700000000000003</v>
      </c>
      <c r="I966" s="2">
        <v>8.1</v>
      </c>
      <c r="J966" t="s">
        <v>48</v>
      </c>
      <c r="K966" s="2">
        <v>28.9</v>
      </c>
      <c r="L966" s="3">
        <v>294.89999999999998</v>
      </c>
    </row>
    <row r="967" spans="1:12" x14ac:dyDescent="0.3">
      <c r="A967">
        <v>966</v>
      </c>
      <c r="B967" t="s">
        <v>1011</v>
      </c>
      <c r="C967">
        <v>2022</v>
      </c>
      <c r="D967" t="s">
        <v>53</v>
      </c>
      <c r="E967" t="s">
        <v>66</v>
      </c>
      <c r="F967">
        <v>151</v>
      </c>
      <c r="G967" s="2">
        <v>104.1</v>
      </c>
      <c r="H967" s="2">
        <v>194.1</v>
      </c>
      <c r="I967" s="2">
        <v>6.1</v>
      </c>
      <c r="J967" t="s">
        <v>31</v>
      </c>
      <c r="K967" s="2">
        <v>90</v>
      </c>
      <c r="L967" s="3">
        <v>86.5</v>
      </c>
    </row>
    <row r="968" spans="1:12" x14ac:dyDescent="0.3">
      <c r="A968">
        <v>967</v>
      </c>
      <c r="B968" t="s">
        <v>1012</v>
      </c>
      <c r="C968">
        <v>2016</v>
      </c>
      <c r="D968" t="s">
        <v>36</v>
      </c>
      <c r="E968" t="s">
        <v>22</v>
      </c>
      <c r="F968">
        <v>129</v>
      </c>
      <c r="G968" s="2">
        <v>62.9</v>
      </c>
      <c r="H968" s="2">
        <v>119.1</v>
      </c>
      <c r="I968" s="2">
        <v>8.6</v>
      </c>
      <c r="J968" t="s">
        <v>31</v>
      </c>
      <c r="K968" s="2">
        <v>56.2</v>
      </c>
      <c r="L968" s="3">
        <v>89.3</v>
      </c>
    </row>
    <row r="969" spans="1:12" x14ac:dyDescent="0.3">
      <c r="A969">
        <v>968</v>
      </c>
      <c r="B969" t="s">
        <v>1013</v>
      </c>
      <c r="C969">
        <v>2012</v>
      </c>
      <c r="D969" t="s">
        <v>65</v>
      </c>
      <c r="E969" t="s">
        <v>22</v>
      </c>
      <c r="F969">
        <v>163</v>
      </c>
      <c r="G969" s="2">
        <v>69.5</v>
      </c>
      <c r="H969" s="2">
        <v>197.8</v>
      </c>
      <c r="I969" s="2">
        <v>6.8</v>
      </c>
      <c r="J969" t="s">
        <v>23</v>
      </c>
      <c r="K969" s="2">
        <v>128.30000000000001</v>
      </c>
      <c r="L969" s="3">
        <v>184.6</v>
      </c>
    </row>
    <row r="970" spans="1:12" x14ac:dyDescent="0.3">
      <c r="A970">
        <v>969</v>
      </c>
      <c r="B970" t="s">
        <v>1014</v>
      </c>
      <c r="C970">
        <v>1994</v>
      </c>
      <c r="D970" t="s">
        <v>25</v>
      </c>
      <c r="E970" t="s">
        <v>22</v>
      </c>
      <c r="F970">
        <v>105</v>
      </c>
      <c r="G970" s="2">
        <v>104</v>
      </c>
      <c r="H970" s="2">
        <v>417.8</v>
      </c>
      <c r="I970" s="2">
        <v>6.7</v>
      </c>
      <c r="J970" t="s">
        <v>34</v>
      </c>
      <c r="K970" s="2">
        <v>313.8</v>
      </c>
      <c r="L970" s="3">
        <v>301.7</v>
      </c>
    </row>
    <row r="971" spans="1:12" x14ac:dyDescent="0.3">
      <c r="A971">
        <v>970</v>
      </c>
      <c r="B971" t="s">
        <v>1015</v>
      </c>
      <c r="C971">
        <v>1992</v>
      </c>
      <c r="D971" t="s">
        <v>13</v>
      </c>
      <c r="E971" t="s">
        <v>22</v>
      </c>
      <c r="F971">
        <v>151</v>
      </c>
      <c r="G971" s="2">
        <v>211</v>
      </c>
      <c r="H971" s="2">
        <v>187.7</v>
      </c>
      <c r="I971" s="2">
        <v>6.6</v>
      </c>
      <c r="J971" t="s">
        <v>91</v>
      </c>
      <c r="K971" s="2">
        <v>-23.3</v>
      </c>
      <c r="L971" s="3">
        <v>-11</v>
      </c>
    </row>
    <row r="972" spans="1:12" x14ac:dyDescent="0.3">
      <c r="A972">
        <v>971</v>
      </c>
      <c r="B972" t="s">
        <v>1016</v>
      </c>
      <c r="C972">
        <v>2019</v>
      </c>
      <c r="D972" t="s">
        <v>17</v>
      </c>
      <c r="E972" t="s">
        <v>18</v>
      </c>
      <c r="F972">
        <v>115</v>
      </c>
      <c r="G972" s="2">
        <v>14.9</v>
      </c>
      <c r="H972" s="2">
        <v>27.1</v>
      </c>
      <c r="I972" s="2">
        <v>6.6</v>
      </c>
      <c r="J972" t="s">
        <v>48</v>
      </c>
      <c r="K972" s="2">
        <v>12.2</v>
      </c>
      <c r="L972" s="3">
        <v>81.900000000000006</v>
      </c>
    </row>
    <row r="973" spans="1:12" x14ac:dyDescent="0.3">
      <c r="A973">
        <v>972</v>
      </c>
      <c r="B973" t="s">
        <v>1017</v>
      </c>
      <c r="C973">
        <v>2011</v>
      </c>
      <c r="D973" t="s">
        <v>65</v>
      </c>
      <c r="E973" t="s">
        <v>18</v>
      </c>
      <c r="F973">
        <v>107</v>
      </c>
      <c r="G973" s="2">
        <v>9.4</v>
      </c>
      <c r="H973" s="2">
        <v>20.3</v>
      </c>
      <c r="I973" s="2">
        <v>6.6</v>
      </c>
      <c r="J973" t="s">
        <v>75</v>
      </c>
      <c r="K973" s="2">
        <v>10.9</v>
      </c>
      <c r="L973" s="3">
        <v>116</v>
      </c>
    </row>
    <row r="974" spans="1:12" x14ac:dyDescent="0.3">
      <c r="A974">
        <v>973</v>
      </c>
      <c r="B974" t="s">
        <v>1018</v>
      </c>
      <c r="C974">
        <v>2019</v>
      </c>
      <c r="D974" t="s">
        <v>47</v>
      </c>
      <c r="E974" t="s">
        <v>22</v>
      </c>
      <c r="F974">
        <v>84</v>
      </c>
      <c r="G974" s="2">
        <v>12.7</v>
      </c>
      <c r="H974" s="2">
        <v>6.9</v>
      </c>
      <c r="I974" s="2">
        <v>7</v>
      </c>
      <c r="J974" t="s">
        <v>91</v>
      </c>
      <c r="K974" s="2">
        <v>-5.8</v>
      </c>
      <c r="L974" s="3">
        <v>-45.7</v>
      </c>
    </row>
    <row r="975" spans="1:12" x14ac:dyDescent="0.3">
      <c r="A975">
        <v>974</v>
      </c>
      <c r="B975" t="s">
        <v>1019</v>
      </c>
      <c r="C975">
        <v>2024</v>
      </c>
      <c r="D975" t="s">
        <v>45</v>
      </c>
      <c r="E975" t="s">
        <v>18</v>
      </c>
      <c r="F975">
        <v>121</v>
      </c>
      <c r="G975" s="2">
        <v>8.3000000000000007</v>
      </c>
      <c r="H975" s="2">
        <v>13</v>
      </c>
      <c r="I975" s="2">
        <v>8.6</v>
      </c>
      <c r="J975" t="s">
        <v>75</v>
      </c>
      <c r="K975" s="2">
        <v>4.7</v>
      </c>
      <c r="L975" s="3">
        <v>56.6</v>
      </c>
    </row>
    <row r="976" spans="1:12" x14ac:dyDescent="0.3">
      <c r="A976">
        <v>975</v>
      </c>
      <c r="B976" t="s">
        <v>1020</v>
      </c>
      <c r="C976">
        <v>1991</v>
      </c>
      <c r="D976" t="s">
        <v>27</v>
      </c>
      <c r="E976" t="s">
        <v>22</v>
      </c>
      <c r="F976">
        <v>164</v>
      </c>
      <c r="G976" s="2">
        <v>58.5</v>
      </c>
      <c r="H976" s="2">
        <v>106.6</v>
      </c>
      <c r="I976" s="2">
        <v>7.3</v>
      </c>
      <c r="J976" t="s">
        <v>79</v>
      </c>
      <c r="K976" s="2">
        <v>48.1</v>
      </c>
      <c r="L976" s="3">
        <v>82.2</v>
      </c>
    </row>
    <row r="977" spans="1:12" x14ac:dyDescent="0.3">
      <c r="A977">
        <v>976</v>
      </c>
      <c r="B977" t="s">
        <v>1021</v>
      </c>
      <c r="C977">
        <v>1997</v>
      </c>
      <c r="D977" t="s">
        <v>47</v>
      </c>
      <c r="E977" t="s">
        <v>22</v>
      </c>
      <c r="F977">
        <v>124</v>
      </c>
      <c r="G977" s="2">
        <v>26.1</v>
      </c>
      <c r="H977" s="2">
        <v>113.5</v>
      </c>
      <c r="I977" s="2">
        <v>7.2</v>
      </c>
      <c r="J977" t="s">
        <v>91</v>
      </c>
      <c r="K977" s="2">
        <v>87.4</v>
      </c>
      <c r="L977" s="3">
        <v>334.9</v>
      </c>
    </row>
    <row r="978" spans="1:12" x14ac:dyDescent="0.3">
      <c r="A978">
        <v>977</v>
      </c>
      <c r="B978" t="s">
        <v>1022</v>
      </c>
      <c r="C978">
        <v>1996</v>
      </c>
      <c r="D978" t="s">
        <v>65</v>
      </c>
      <c r="E978" t="s">
        <v>18</v>
      </c>
      <c r="F978">
        <v>112</v>
      </c>
      <c r="G978" s="2">
        <v>9.9</v>
      </c>
      <c r="H978" s="2">
        <v>21.1</v>
      </c>
      <c r="I978" s="2">
        <v>6.7</v>
      </c>
      <c r="J978" t="s">
        <v>19</v>
      </c>
      <c r="K978" s="2">
        <v>11.2</v>
      </c>
      <c r="L978" s="3">
        <v>113.1</v>
      </c>
    </row>
    <row r="979" spans="1:12" x14ac:dyDescent="0.3">
      <c r="A979">
        <v>978</v>
      </c>
      <c r="B979" t="s">
        <v>1023</v>
      </c>
      <c r="C979">
        <v>2018</v>
      </c>
      <c r="D979" t="s">
        <v>17</v>
      </c>
      <c r="E979" t="s">
        <v>22</v>
      </c>
      <c r="F979">
        <v>76</v>
      </c>
      <c r="G979" s="2">
        <v>138.6</v>
      </c>
      <c r="H979" s="2">
        <v>288.10000000000002</v>
      </c>
      <c r="I979" s="2">
        <v>5.9</v>
      </c>
      <c r="J979" t="s">
        <v>28</v>
      </c>
      <c r="K979" s="2">
        <v>149.5</v>
      </c>
      <c r="L979" s="3">
        <v>107.9</v>
      </c>
    </row>
    <row r="980" spans="1:12" x14ac:dyDescent="0.3">
      <c r="A980">
        <v>979</v>
      </c>
      <c r="B980" t="s">
        <v>1024</v>
      </c>
      <c r="C980">
        <v>1995</v>
      </c>
      <c r="D980" t="s">
        <v>47</v>
      </c>
      <c r="E980" t="s">
        <v>18</v>
      </c>
      <c r="F980">
        <v>93</v>
      </c>
      <c r="G980" s="2">
        <v>27</v>
      </c>
      <c r="H980" s="2">
        <v>43.8</v>
      </c>
      <c r="I980" s="2">
        <v>7.6</v>
      </c>
      <c r="J980" t="s">
        <v>59</v>
      </c>
      <c r="K980" s="2">
        <v>16.8</v>
      </c>
      <c r="L980" s="3">
        <v>62.2</v>
      </c>
    </row>
    <row r="981" spans="1:12" x14ac:dyDescent="0.3">
      <c r="A981">
        <v>980</v>
      </c>
      <c r="B981" t="s">
        <v>1025</v>
      </c>
      <c r="C981">
        <v>2002</v>
      </c>
      <c r="D981" t="s">
        <v>47</v>
      </c>
      <c r="E981" t="s">
        <v>22</v>
      </c>
      <c r="F981">
        <v>141</v>
      </c>
      <c r="G981" s="2">
        <v>67.599999999999994</v>
      </c>
      <c r="H981" s="2">
        <v>422.8</v>
      </c>
      <c r="I981" s="2">
        <v>5.9</v>
      </c>
      <c r="J981" t="s">
        <v>91</v>
      </c>
      <c r="K981" s="2">
        <v>355.2</v>
      </c>
      <c r="L981" s="3">
        <v>525.4</v>
      </c>
    </row>
    <row r="982" spans="1:12" x14ac:dyDescent="0.3">
      <c r="A982">
        <v>981</v>
      </c>
      <c r="B982" t="s">
        <v>1026</v>
      </c>
      <c r="C982">
        <v>2021</v>
      </c>
      <c r="D982" t="s">
        <v>25</v>
      </c>
      <c r="E982" t="s">
        <v>18</v>
      </c>
      <c r="F982">
        <v>120</v>
      </c>
      <c r="G982" s="2">
        <v>52</v>
      </c>
      <c r="H982" s="2">
        <v>39.799999999999997</v>
      </c>
      <c r="I982" s="2">
        <v>8.8000000000000007</v>
      </c>
      <c r="J982" t="s">
        <v>19</v>
      </c>
      <c r="K982" s="2">
        <v>-12.2</v>
      </c>
      <c r="L982" s="3">
        <v>-23.5</v>
      </c>
    </row>
    <row r="983" spans="1:12" x14ac:dyDescent="0.3">
      <c r="A983">
        <v>982</v>
      </c>
      <c r="B983" t="s">
        <v>1027</v>
      </c>
      <c r="C983">
        <v>1996</v>
      </c>
      <c r="D983" t="s">
        <v>13</v>
      </c>
      <c r="E983" t="s">
        <v>127</v>
      </c>
      <c r="F983">
        <v>154</v>
      </c>
      <c r="G983" s="2">
        <v>209.5</v>
      </c>
      <c r="H983" s="2">
        <v>620.5</v>
      </c>
      <c r="I983" s="2">
        <v>5.3</v>
      </c>
      <c r="J983" t="s">
        <v>40</v>
      </c>
      <c r="K983" s="2">
        <v>411</v>
      </c>
      <c r="L983" s="3">
        <v>196.2</v>
      </c>
    </row>
    <row r="984" spans="1:12" x14ac:dyDescent="0.3">
      <c r="A984">
        <v>983</v>
      </c>
      <c r="B984" t="s">
        <v>1028</v>
      </c>
      <c r="C984">
        <v>2012</v>
      </c>
      <c r="D984" t="s">
        <v>45</v>
      </c>
      <c r="E984" t="s">
        <v>18</v>
      </c>
      <c r="F984">
        <v>96</v>
      </c>
      <c r="G984" s="2">
        <v>3.9</v>
      </c>
      <c r="H984" s="2">
        <v>3.9</v>
      </c>
      <c r="I984" s="2">
        <v>5.8</v>
      </c>
      <c r="J984" t="s">
        <v>75</v>
      </c>
      <c r="K984" s="2">
        <v>0</v>
      </c>
      <c r="L984" s="3">
        <v>0</v>
      </c>
    </row>
    <row r="985" spans="1:12" x14ac:dyDescent="0.3">
      <c r="A985">
        <v>984</v>
      </c>
      <c r="B985" t="s">
        <v>1029</v>
      </c>
      <c r="C985">
        <v>2022</v>
      </c>
      <c r="D985" t="s">
        <v>53</v>
      </c>
      <c r="E985" t="s">
        <v>22</v>
      </c>
      <c r="F985">
        <v>177</v>
      </c>
      <c r="G985" s="2">
        <v>15.3</v>
      </c>
      <c r="H985" s="2">
        <v>16.3</v>
      </c>
      <c r="I985" s="2">
        <v>5.9</v>
      </c>
      <c r="J985" t="s">
        <v>79</v>
      </c>
      <c r="K985" s="2">
        <v>1</v>
      </c>
      <c r="L985" s="3">
        <v>6.5</v>
      </c>
    </row>
    <row r="986" spans="1:12" x14ac:dyDescent="0.3">
      <c r="A986">
        <v>985</v>
      </c>
      <c r="B986" t="s">
        <v>1030</v>
      </c>
      <c r="C986">
        <v>2019</v>
      </c>
      <c r="D986" t="s">
        <v>47</v>
      </c>
      <c r="E986" t="s">
        <v>18</v>
      </c>
      <c r="F986">
        <v>114</v>
      </c>
      <c r="G986" s="2">
        <v>6.4</v>
      </c>
      <c r="H986" s="2">
        <v>18.399999999999999</v>
      </c>
      <c r="I986" s="2">
        <v>7.7</v>
      </c>
      <c r="J986" t="s">
        <v>68</v>
      </c>
      <c r="K986" s="2">
        <v>12</v>
      </c>
      <c r="L986" s="3">
        <v>187.5</v>
      </c>
    </row>
    <row r="987" spans="1:12" x14ac:dyDescent="0.3">
      <c r="A987">
        <v>986</v>
      </c>
      <c r="B987" t="s">
        <v>1031</v>
      </c>
      <c r="C987">
        <v>1993</v>
      </c>
      <c r="D987" t="s">
        <v>36</v>
      </c>
      <c r="E987" t="s">
        <v>30</v>
      </c>
      <c r="F987">
        <v>119</v>
      </c>
      <c r="G987" s="2">
        <v>23.9</v>
      </c>
      <c r="H987" s="2">
        <v>13.2</v>
      </c>
      <c r="I987" s="2">
        <v>6.8</v>
      </c>
      <c r="J987" t="s">
        <v>28</v>
      </c>
      <c r="K987" s="2">
        <v>-10.7</v>
      </c>
      <c r="L987" s="3">
        <v>-44.8</v>
      </c>
    </row>
    <row r="988" spans="1:12" x14ac:dyDescent="0.3">
      <c r="A988">
        <v>987</v>
      </c>
      <c r="B988" t="s">
        <v>1032</v>
      </c>
      <c r="C988">
        <v>1995</v>
      </c>
      <c r="D988" t="s">
        <v>13</v>
      </c>
      <c r="E988" t="s">
        <v>22</v>
      </c>
      <c r="F988">
        <v>157</v>
      </c>
      <c r="G988" s="2">
        <v>67.7</v>
      </c>
      <c r="H988" s="2">
        <v>146.69999999999999</v>
      </c>
      <c r="I988" s="2">
        <v>8</v>
      </c>
      <c r="J988" t="s">
        <v>57</v>
      </c>
      <c r="K988" s="2">
        <v>79</v>
      </c>
      <c r="L988" s="3">
        <v>116.7</v>
      </c>
    </row>
    <row r="989" spans="1:12" x14ac:dyDescent="0.3">
      <c r="A989">
        <v>988</v>
      </c>
      <c r="B989" t="s">
        <v>1033</v>
      </c>
      <c r="C989">
        <v>2020</v>
      </c>
      <c r="D989" t="s">
        <v>47</v>
      </c>
      <c r="E989" t="s">
        <v>18</v>
      </c>
      <c r="F989">
        <v>189</v>
      </c>
      <c r="G989" s="2">
        <v>40.5</v>
      </c>
      <c r="H989" s="2">
        <v>42.8</v>
      </c>
      <c r="I989" s="2">
        <v>8.6</v>
      </c>
      <c r="J989" t="s">
        <v>59</v>
      </c>
      <c r="K989" s="2">
        <v>2.2999999999999998</v>
      </c>
      <c r="L989" s="3">
        <v>5.7</v>
      </c>
    </row>
    <row r="990" spans="1:12" x14ac:dyDescent="0.3">
      <c r="A990">
        <v>989</v>
      </c>
      <c r="B990" t="s">
        <v>1034</v>
      </c>
      <c r="C990">
        <v>2012</v>
      </c>
      <c r="D990" t="s">
        <v>65</v>
      </c>
      <c r="E990" t="s">
        <v>22</v>
      </c>
      <c r="F990">
        <v>111</v>
      </c>
      <c r="G990" s="2">
        <v>82.2</v>
      </c>
      <c r="H990" s="2">
        <v>90.3</v>
      </c>
      <c r="I990" s="2">
        <v>7.4</v>
      </c>
      <c r="J990" t="s">
        <v>31</v>
      </c>
      <c r="K990" s="2">
        <v>8.1</v>
      </c>
      <c r="L990" s="3">
        <v>9.9</v>
      </c>
    </row>
    <row r="991" spans="1:12" x14ac:dyDescent="0.3">
      <c r="A991">
        <v>990</v>
      </c>
      <c r="B991" t="s">
        <v>1035</v>
      </c>
      <c r="C991">
        <v>1997</v>
      </c>
      <c r="D991" t="s">
        <v>53</v>
      </c>
      <c r="E991" t="s">
        <v>22</v>
      </c>
      <c r="F991">
        <v>114</v>
      </c>
      <c r="G991" s="2">
        <v>50.3</v>
      </c>
      <c r="H991" s="2">
        <v>158.30000000000001</v>
      </c>
      <c r="I991" s="2">
        <v>6.5</v>
      </c>
      <c r="J991" t="s">
        <v>34</v>
      </c>
      <c r="K991" s="2">
        <v>108</v>
      </c>
      <c r="L991" s="3">
        <v>214.7</v>
      </c>
    </row>
    <row r="992" spans="1:12" x14ac:dyDescent="0.3">
      <c r="A992">
        <v>991</v>
      </c>
      <c r="B992" t="s">
        <v>1036</v>
      </c>
      <c r="C992">
        <v>2011</v>
      </c>
      <c r="D992" t="s">
        <v>47</v>
      </c>
      <c r="E992" t="s">
        <v>66</v>
      </c>
      <c r="F992">
        <v>95</v>
      </c>
      <c r="G992" s="2">
        <v>49.7</v>
      </c>
      <c r="H992" s="2">
        <v>243.9</v>
      </c>
      <c r="I992" s="2">
        <v>7.5</v>
      </c>
      <c r="J992" t="s">
        <v>51</v>
      </c>
      <c r="K992" s="2">
        <v>194.2</v>
      </c>
      <c r="L992" s="3">
        <v>390.7</v>
      </c>
    </row>
    <row r="993" spans="1:12" x14ac:dyDescent="0.3">
      <c r="A993">
        <v>992</v>
      </c>
      <c r="B993" t="s">
        <v>1037</v>
      </c>
      <c r="C993">
        <v>2023</v>
      </c>
      <c r="D993" t="s">
        <v>45</v>
      </c>
      <c r="E993" t="s">
        <v>30</v>
      </c>
      <c r="F993">
        <v>133</v>
      </c>
      <c r="G993" s="2">
        <v>86.8</v>
      </c>
      <c r="H993" s="2">
        <v>311.60000000000002</v>
      </c>
      <c r="I993" s="2">
        <v>7.2</v>
      </c>
      <c r="J993" t="s">
        <v>91</v>
      </c>
      <c r="K993" s="2">
        <v>224.8</v>
      </c>
      <c r="L993" s="3">
        <v>259</v>
      </c>
    </row>
    <row r="994" spans="1:12" x14ac:dyDescent="0.3">
      <c r="A994">
        <v>993</v>
      </c>
      <c r="B994" t="s">
        <v>1038</v>
      </c>
      <c r="C994">
        <v>2010</v>
      </c>
      <c r="D994" t="s">
        <v>17</v>
      </c>
      <c r="E994" t="s">
        <v>22</v>
      </c>
      <c r="F994">
        <v>86</v>
      </c>
      <c r="G994" s="2">
        <v>107.1</v>
      </c>
      <c r="H994" s="2">
        <v>90.4</v>
      </c>
      <c r="I994" s="2">
        <v>8.5</v>
      </c>
      <c r="J994" t="s">
        <v>51</v>
      </c>
      <c r="K994" s="2">
        <v>-16.7</v>
      </c>
      <c r="L994" s="3">
        <v>-15.6</v>
      </c>
    </row>
    <row r="995" spans="1:12" x14ac:dyDescent="0.3">
      <c r="A995">
        <v>994</v>
      </c>
      <c r="B995" t="s">
        <v>1039</v>
      </c>
      <c r="C995">
        <v>2025</v>
      </c>
      <c r="D995" t="s">
        <v>45</v>
      </c>
      <c r="E995" t="s">
        <v>18</v>
      </c>
      <c r="F995">
        <v>75</v>
      </c>
      <c r="G995" s="2">
        <v>20.8</v>
      </c>
      <c r="H995" s="2">
        <v>47.3</v>
      </c>
      <c r="I995" s="2">
        <v>8.1999999999999993</v>
      </c>
      <c r="J995" t="s">
        <v>48</v>
      </c>
      <c r="K995" s="2">
        <v>26.5</v>
      </c>
      <c r="L995" s="3">
        <v>127.4</v>
      </c>
    </row>
    <row r="996" spans="1:12" x14ac:dyDescent="0.3">
      <c r="A996">
        <v>995</v>
      </c>
      <c r="B996" t="s">
        <v>1040</v>
      </c>
      <c r="C996">
        <v>2000</v>
      </c>
      <c r="D996" t="s">
        <v>17</v>
      </c>
      <c r="E996" t="s">
        <v>22</v>
      </c>
      <c r="F996">
        <v>87</v>
      </c>
      <c r="G996" s="2">
        <v>97.1</v>
      </c>
      <c r="H996" s="2">
        <v>141.6</v>
      </c>
      <c r="I996" s="2">
        <v>6.8</v>
      </c>
      <c r="J996" t="s">
        <v>23</v>
      </c>
      <c r="K996" s="2">
        <v>44.5</v>
      </c>
      <c r="L996" s="3">
        <v>45.8</v>
      </c>
    </row>
    <row r="997" spans="1:12" x14ac:dyDescent="0.3">
      <c r="A997">
        <v>996</v>
      </c>
      <c r="B997" t="s">
        <v>1041</v>
      </c>
      <c r="C997">
        <v>2005</v>
      </c>
      <c r="D997" t="s">
        <v>25</v>
      </c>
      <c r="E997" t="s">
        <v>33</v>
      </c>
      <c r="F997">
        <v>75</v>
      </c>
      <c r="G997" s="2">
        <v>245</v>
      </c>
      <c r="H997" s="2">
        <v>600.6</v>
      </c>
      <c r="I997" s="2">
        <v>7.3</v>
      </c>
      <c r="J997" t="s">
        <v>31</v>
      </c>
      <c r="K997" s="2">
        <v>355.6</v>
      </c>
      <c r="L997" s="3">
        <v>145.1</v>
      </c>
    </row>
    <row r="998" spans="1:12" x14ac:dyDescent="0.3">
      <c r="A998">
        <v>997</v>
      </c>
      <c r="B998" t="s">
        <v>1042</v>
      </c>
      <c r="C998">
        <v>2023</v>
      </c>
      <c r="D998" t="s">
        <v>17</v>
      </c>
      <c r="E998" t="s">
        <v>22</v>
      </c>
      <c r="F998">
        <v>123</v>
      </c>
      <c r="G998" s="2">
        <v>400</v>
      </c>
      <c r="H998" s="2">
        <v>1327.5</v>
      </c>
      <c r="I998" s="2">
        <v>6.3</v>
      </c>
      <c r="J998" t="s">
        <v>91</v>
      </c>
      <c r="K998" s="2">
        <v>927.5</v>
      </c>
      <c r="L998" s="3">
        <v>231.9</v>
      </c>
    </row>
    <row r="999" spans="1:12" x14ac:dyDescent="0.3">
      <c r="A999">
        <v>998</v>
      </c>
      <c r="B999" t="s">
        <v>1043</v>
      </c>
      <c r="C999">
        <v>2008</v>
      </c>
      <c r="D999" t="s">
        <v>25</v>
      </c>
      <c r="E999" t="s">
        <v>22</v>
      </c>
      <c r="F999">
        <v>89</v>
      </c>
      <c r="G999" s="2">
        <v>70.2</v>
      </c>
      <c r="H999" s="2">
        <v>119.4</v>
      </c>
      <c r="I999" s="2">
        <v>6.8</v>
      </c>
      <c r="J999" t="s">
        <v>51</v>
      </c>
      <c r="K999" s="2">
        <v>49.2</v>
      </c>
      <c r="L999" s="3">
        <v>70.099999999999994</v>
      </c>
    </row>
    <row r="1000" spans="1:12" x14ac:dyDescent="0.3">
      <c r="A1000">
        <v>999</v>
      </c>
      <c r="B1000" t="s">
        <v>1044</v>
      </c>
      <c r="C1000">
        <v>2017</v>
      </c>
      <c r="D1000" t="s">
        <v>27</v>
      </c>
      <c r="E1000" t="s">
        <v>22</v>
      </c>
      <c r="F1000">
        <v>125</v>
      </c>
      <c r="G1000" s="2">
        <v>146.6</v>
      </c>
      <c r="H1000" s="2">
        <v>694.9</v>
      </c>
      <c r="I1000" s="2">
        <v>6.3</v>
      </c>
      <c r="J1000" t="s">
        <v>79</v>
      </c>
      <c r="K1000" s="2">
        <v>548.29999999999995</v>
      </c>
      <c r="L1000" s="3">
        <v>374</v>
      </c>
    </row>
    <row r="1001" spans="1:12" x14ac:dyDescent="0.3">
      <c r="A1001">
        <v>1000</v>
      </c>
      <c r="B1001" t="s">
        <v>1045</v>
      </c>
      <c r="C1001">
        <v>1996</v>
      </c>
      <c r="D1001" t="s">
        <v>65</v>
      </c>
      <c r="E1001" t="s">
        <v>18</v>
      </c>
      <c r="F1001">
        <v>117</v>
      </c>
      <c r="G1001" s="2">
        <v>12.2</v>
      </c>
      <c r="H1001" s="2">
        <v>15.4</v>
      </c>
      <c r="I1001" s="2">
        <v>6.7</v>
      </c>
      <c r="J1001" t="s">
        <v>19</v>
      </c>
      <c r="K1001" s="2">
        <v>3.2</v>
      </c>
      <c r="L1001" s="3">
        <v>26.2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8"/>
  <sheetViews>
    <sheetView topLeftCell="B1" workbookViewId="0">
      <selection activeCell="D10" sqref="D10"/>
    </sheetView>
  </sheetViews>
  <sheetFormatPr defaultRowHeight="14.4" x14ac:dyDescent="0.3"/>
  <cols>
    <col min="1" max="1" width="12.5546875" bestFit="1" customWidth="1"/>
    <col min="2" max="2" width="17" bestFit="1" customWidth="1"/>
    <col min="4" max="4" width="10.77734375" bestFit="1" customWidth="1"/>
    <col min="5" max="5" width="17" bestFit="1" customWidth="1"/>
    <col min="8" max="8" width="10.88671875" bestFit="1" customWidth="1"/>
    <col min="9" max="9" width="23.77734375" bestFit="1" customWidth="1"/>
    <col min="11" max="11" width="23.77734375" bestFit="1" customWidth="1"/>
    <col min="12" max="12" width="26.5546875" bestFit="1" customWidth="1"/>
    <col min="14" max="14" width="10.77734375" bestFit="1" customWidth="1"/>
    <col min="15" max="15" width="17" bestFit="1" customWidth="1"/>
    <col min="16" max="16" width="21.88671875" bestFit="1" customWidth="1"/>
    <col min="17" max="17" width="29.77734375" bestFit="1" customWidth="1"/>
  </cols>
  <sheetData>
    <row r="1" spans="1:16" x14ac:dyDescent="0.3">
      <c r="A1" s="4" t="s">
        <v>1054</v>
      </c>
      <c r="B1" t="s">
        <v>1055</v>
      </c>
    </row>
    <row r="2" spans="1:16" x14ac:dyDescent="0.3">
      <c r="A2" s="5">
        <v>1990</v>
      </c>
      <c r="B2">
        <v>34</v>
      </c>
    </row>
    <row r="3" spans="1:16" x14ac:dyDescent="0.3">
      <c r="A3" s="5">
        <v>1991</v>
      </c>
      <c r="B3">
        <v>36</v>
      </c>
    </row>
    <row r="4" spans="1:16" x14ac:dyDescent="0.3">
      <c r="A4" s="5">
        <v>1992</v>
      </c>
      <c r="B4">
        <v>25</v>
      </c>
      <c r="D4" s="4" t="s">
        <v>3</v>
      </c>
      <c r="E4" t="s">
        <v>1056</v>
      </c>
      <c r="H4" s="4" t="s">
        <v>4</v>
      </c>
      <c r="I4" t="s">
        <v>1057</v>
      </c>
      <c r="K4" s="4" t="s">
        <v>1058</v>
      </c>
      <c r="L4" t="s">
        <v>1056</v>
      </c>
      <c r="N4" s="4" t="s">
        <v>1059</v>
      </c>
      <c r="O4" t="s">
        <v>1055</v>
      </c>
      <c r="P4" t="s">
        <v>1060</v>
      </c>
    </row>
    <row r="5" spans="1:16" x14ac:dyDescent="0.3">
      <c r="A5" s="5">
        <v>1993</v>
      </c>
      <c r="B5">
        <v>29</v>
      </c>
      <c r="D5" s="5" t="s">
        <v>25</v>
      </c>
      <c r="E5" s="2">
        <v>24306.3</v>
      </c>
      <c r="H5" s="5" t="s">
        <v>22</v>
      </c>
      <c r="I5" s="2">
        <v>65674.799999999988</v>
      </c>
      <c r="K5" s="5" t="s">
        <v>1061</v>
      </c>
      <c r="L5" s="2">
        <v>2086.5</v>
      </c>
      <c r="N5" s="5" t="s">
        <v>1062</v>
      </c>
      <c r="O5">
        <v>181</v>
      </c>
      <c r="P5" s="2">
        <v>7.2182320441988992</v>
      </c>
    </row>
    <row r="6" spans="1:16" x14ac:dyDescent="0.3">
      <c r="A6" s="5">
        <v>1994</v>
      </c>
      <c r="B6">
        <v>20</v>
      </c>
      <c r="D6" s="5" t="s">
        <v>21</v>
      </c>
      <c r="E6" s="2">
        <v>8920.7000000000044</v>
      </c>
      <c r="H6" s="5" t="s">
        <v>30</v>
      </c>
      <c r="I6" s="2">
        <v>5860.7999999999984</v>
      </c>
      <c r="K6" s="5" t="s">
        <v>1042</v>
      </c>
      <c r="L6" s="2">
        <v>1327.5</v>
      </c>
      <c r="N6" s="5" t="s">
        <v>1063</v>
      </c>
      <c r="O6">
        <v>413</v>
      </c>
      <c r="P6" s="2">
        <v>7.068038740920092</v>
      </c>
    </row>
    <row r="7" spans="1:16" x14ac:dyDescent="0.3">
      <c r="A7" s="5">
        <v>1995</v>
      </c>
      <c r="B7">
        <v>33</v>
      </c>
      <c r="D7" s="5" t="s">
        <v>47</v>
      </c>
      <c r="E7" s="2">
        <v>17026.099999999991</v>
      </c>
      <c r="H7" s="5" t="s">
        <v>14</v>
      </c>
      <c r="I7" s="2">
        <v>5759.6</v>
      </c>
      <c r="K7" s="5" t="s">
        <v>864</v>
      </c>
      <c r="L7" s="2">
        <v>1161.5</v>
      </c>
      <c r="N7" s="5" t="s">
        <v>1064</v>
      </c>
      <c r="O7">
        <v>331</v>
      </c>
      <c r="P7" s="2">
        <v>7.1066465256797624</v>
      </c>
    </row>
    <row r="8" spans="1:16" x14ac:dyDescent="0.3">
      <c r="A8" s="5">
        <v>1996</v>
      </c>
      <c r="B8">
        <v>29</v>
      </c>
      <c r="D8" s="5" t="s">
        <v>13</v>
      </c>
      <c r="E8" s="2">
        <v>18301.30000000001</v>
      </c>
      <c r="H8" s="5" t="s">
        <v>66</v>
      </c>
      <c r="I8" s="2">
        <v>4608.5</v>
      </c>
      <c r="K8" s="5" t="s">
        <v>414</v>
      </c>
      <c r="L8" s="2">
        <v>996.4</v>
      </c>
      <c r="N8" s="5" t="s">
        <v>1065</v>
      </c>
      <c r="O8">
        <v>69</v>
      </c>
      <c r="P8" s="2">
        <v>7.0072463768115947</v>
      </c>
    </row>
    <row r="9" spans="1:16" x14ac:dyDescent="0.3">
      <c r="A9" s="5">
        <v>1997</v>
      </c>
      <c r="B9">
        <v>19</v>
      </c>
      <c r="D9" s="5" t="s">
        <v>53</v>
      </c>
      <c r="E9" s="2">
        <v>9051.5999999999967</v>
      </c>
      <c r="H9" s="5" t="s">
        <v>33</v>
      </c>
      <c r="I9" s="2">
        <v>4025.1</v>
      </c>
      <c r="K9" s="5" t="s">
        <v>42</v>
      </c>
      <c r="L9" s="2">
        <v>936</v>
      </c>
      <c r="N9" s="5" t="s">
        <v>1066</v>
      </c>
      <c r="O9">
        <v>6</v>
      </c>
      <c r="P9" s="2">
        <v>6.8666666666666671</v>
      </c>
    </row>
    <row r="10" spans="1:16" x14ac:dyDescent="0.3">
      <c r="A10" s="5">
        <v>1998</v>
      </c>
      <c r="B10">
        <v>31</v>
      </c>
      <c r="D10" s="5" t="s">
        <v>65</v>
      </c>
      <c r="E10" s="2">
        <v>14650.7</v>
      </c>
      <c r="H10" s="5" t="s">
        <v>18</v>
      </c>
      <c r="I10" s="2">
        <v>3487.8</v>
      </c>
      <c r="K10" s="5" t="s">
        <v>303</v>
      </c>
      <c r="L10" s="2">
        <v>887.8</v>
      </c>
      <c r="N10" s="5" t="s">
        <v>1067</v>
      </c>
      <c r="O10">
        <v>1000</v>
      </c>
      <c r="P10" s="2">
        <v>7.1025999999999918</v>
      </c>
    </row>
    <row r="11" spans="1:16" x14ac:dyDescent="0.3">
      <c r="A11" s="5">
        <v>1999</v>
      </c>
      <c r="B11">
        <v>29</v>
      </c>
      <c r="D11" s="5" t="s">
        <v>27</v>
      </c>
      <c r="E11" s="2">
        <v>17325.3</v>
      </c>
      <c r="H11" s="5" t="s">
        <v>39</v>
      </c>
      <c r="I11" s="2">
        <v>3233.6</v>
      </c>
      <c r="K11" s="5" t="s">
        <v>374</v>
      </c>
      <c r="L11" s="2">
        <v>859.6</v>
      </c>
    </row>
    <row r="12" spans="1:16" x14ac:dyDescent="0.3">
      <c r="A12" s="5">
        <v>2000</v>
      </c>
      <c r="B12">
        <v>21</v>
      </c>
      <c r="D12" s="5" t="s">
        <v>36</v>
      </c>
      <c r="E12" s="2">
        <v>12329.8</v>
      </c>
      <c r="H12" s="5" t="s">
        <v>127</v>
      </c>
      <c r="I12" s="2">
        <v>2488.6</v>
      </c>
      <c r="K12" s="5" t="s">
        <v>274</v>
      </c>
      <c r="L12" s="2">
        <v>839.1</v>
      </c>
    </row>
    <row r="13" spans="1:16" x14ac:dyDescent="0.3">
      <c r="A13" s="5">
        <v>2001</v>
      </c>
      <c r="B13">
        <v>29</v>
      </c>
      <c r="D13" s="5" t="s">
        <v>17</v>
      </c>
      <c r="E13" s="2">
        <v>24008.19999999999</v>
      </c>
      <c r="H13" s="5" t="s">
        <v>1067</v>
      </c>
      <c r="I13" s="2">
        <v>95138.799999999988</v>
      </c>
      <c r="K13" s="5" t="s">
        <v>921</v>
      </c>
      <c r="L13" s="2">
        <v>832.5</v>
      </c>
    </row>
    <row r="14" spans="1:16" x14ac:dyDescent="0.3">
      <c r="A14" s="5">
        <v>2002</v>
      </c>
      <c r="B14">
        <v>25</v>
      </c>
      <c r="D14" s="5" t="s">
        <v>45</v>
      </c>
      <c r="E14" s="2">
        <v>13559.899999999991</v>
      </c>
      <c r="K14" s="5" t="s">
        <v>964</v>
      </c>
      <c r="L14" s="2">
        <v>831.9</v>
      </c>
    </row>
    <row r="15" spans="1:16" x14ac:dyDescent="0.3">
      <c r="A15" s="5">
        <v>2003</v>
      </c>
      <c r="B15">
        <v>22</v>
      </c>
      <c r="D15" s="5" t="s">
        <v>1067</v>
      </c>
      <c r="E15" s="2">
        <v>159479.9</v>
      </c>
      <c r="K15" s="5" t="s">
        <v>1067</v>
      </c>
      <c r="L15" s="2">
        <v>10758.8</v>
      </c>
    </row>
    <row r="16" spans="1:16" x14ac:dyDescent="0.3">
      <c r="A16" s="5">
        <v>2004</v>
      </c>
      <c r="B16">
        <v>32</v>
      </c>
    </row>
    <row r="17" spans="1:13" x14ac:dyDescent="0.3">
      <c r="A17" s="5">
        <v>2005</v>
      </c>
      <c r="B17">
        <v>27</v>
      </c>
    </row>
    <row r="18" spans="1:13" x14ac:dyDescent="0.3">
      <c r="A18" s="5">
        <v>2006</v>
      </c>
      <c r="B18">
        <v>29</v>
      </c>
    </row>
    <row r="19" spans="1:13" x14ac:dyDescent="0.3">
      <c r="A19" s="5">
        <v>2007</v>
      </c>
      <c r="B19">
        <v>31</v>
      </c>
      <c r="D19" s="4" t="s">
        <v>3</v>
      </c>
      <c r="E19" t="s">
        <v>1055</v>
      </c>
      <c r="H19" s="4" t="s">
        <v>3</v>
      </c>
      <c r="I19" t="s">
        <v>1060</v>
      </c>
      <c r="K19" s="6"/>
      <c r="L19" s="7"/>
      <c r="M19" s="8"/>
    </row>
    <row r="20" spans="1:13" x14ac:dyDescent="0.3">
      <c r="A20" s="5">
        <v>2008</v>
      </c>
      <c r="B20">
        <v>22</v>
      </c>
      <c r="D20" s="5" t="s">
        <v>25</v>
      </c>
      <c r="E20">
        <v>149</v>
      </c>
      <c r="H20" s="5" t="s">
        <v>25</v>
      </c>
      <c r="I20" s="2">
        <v>7.0973154362416109</v>
      </c>
      <c r="K20" s="9"/>
      <c r="L20" s="10"/>
      <c r="M20" s="11"/>
    </row>
    <row r="21" spans="1:13" x14ac:dyDescent="0.3">
      <c r="A21" s="5">
        <v>2009</v>
      </c>
      <c r="B21">
        <v>21</v>
      </c>
      <c r="D21" s="5" t="s">
        <v>21</v>
      </c>
      <c r="E21">
        <v>46</v>
      </c>
      <c r="H21" s="5" t="s">
        <v>21</v>
      </c>
      <c r="I21" s="2">
        <v>7.0195652173913041</v>
      </c>
      <c r="K21" s="9"/>
      <c r="L21" s="10"/>
      <c r="M21" s="11"/>
    </row>
    <row r="22" spans="1:13" x14ac:dyDescent="0.3">
      <c r="A22" s="5">
        <v>2010</v>
      </c>
      <c r="B22">
        <v>33</v>
      </c>
      <c r="D22" s="5" t="s">
        <v>47</v>
      </c>
      <c r="E22">
        <v>94</v>
      </c>
      <c r="H22" s="5" t="s">
        <v>47</v>
      </c>
      <c r="I22" s="2">
        <v>7.1627659574468101</v>
      </c>
      <c r="K22" s="9"/>
      <c r="L22" s="10"/>
      <c r="M22" s="11"/>
    </row>
    <row r="23" spans="1:13" x14ac:dyDescent="0.3">
      <c r="A23" s="5">
        <v>2011</v>
      </c>
      <c r="B23">
        <v>28</v>
      </c>
      <c r="D23" s="5" t="s">
        <v>13</v>
      </c>
      <c r="E23">
        <v>102</v>
      </c>
      <c r="H23" s="5" t="s">
        <v>13</v>
      </c>
      <c r="I23" s="2">
        <v>6.9696078431372568</v>
      </c>
      <c r="K23" s="9"/>
      <c r="L23" s="10"/>
      <c r="M23" s="11"/>
    </row>
    <row r="24" spans="1:13" x14ac:dyDescent="0.3">
      <c r="A24" s="5">
        <v>2012</v>
      </c>
      <c r="B24">
        <v>30</v>
      </c>
      <c r="D24" s="5" t="s">
        <v>53</v>
      </c>
      <c r="E24">
        <v>65</v>
      </c>
      <c r="H24" s="5" t="s">
        <v>53</v>
      </c>
      <c r="I24" s="2">
        <v>7.281538461538462</v>
      </c>
      <c r="K24" s="9"/>
      <c r="L24" s="10"/>
      <c r="M24" s="11"/>
    </row>
    <row r="25" spans="1:13" x14ac:dyDescent="0.3">
      <c r="A25" s="5">
        <v>2013</v>
      </c>
      <c r="B25">
        <v>35</v>
      </c>
      <c r="D25" s="5" t="s">
        <v>65</v>
      </c>
      <c r="E25">
        <v>132</v>
      </c>
      <c r="H25" s="5" t="s">
        <v>65</v>
      </c>
      <c r="I25" s="2">
        <v>7.1924242424242442</v>
      </c>
      <c r="K25" s="9"/>
      <c r="L25" s="10"/>
      <c r="M25" s="11"/>
    </row>
    <row r="26" spans="1:13" x14ac:dyDescent="0.3">
      <c r="A26" s="5">
        <v>2014</v>
      </c>
      <c r="B26">
        <v>30</v>
      </c>
      <c r="D26" s="5" t="s">
        <v>27</v>
      </c>
      <c r="E26">
        <v>88</v>
      </c>
      <c r="H26" s="5" t="s">
        <v>27</v>
      </c>
      <c r="I26" s="2">
        <v>7.0670454545454504</v>
      </c>
      <c r="K26" s="9"/>
      <c r="L26" s="10"/>
      <c r="M26" s="11"/>
    </row>
    <row r="27" spans="1:13" x14ac:dyDescent="0.3">
      <c r="A27" s="5">
        <v>2015</v>
      </c>
      <c r="B27">
        <v>30</v>
      </c>
      <c r="D27" s="5" t="s">
        <v>36</v>
      </c>
      <c r="E27">
        <v>84</v>
      </c>
      <c r="H27" s="5" t="s">
        <v>36</v>
      </c>
      <c r="I27" s="2">
        <v>7.0666666666666673</v>
      </c>
      <c r="K27" s="9"/>
      <c r="L27" s="10"/>
      <c r="M27" s="11"/>
    </row>
    <row r="28" spans="1:13" x14ac:dyDescent="0.3">
      <c r="A28" s="5">
        <v>2016</v>
      </c>
      <c r="B28">
        <v>29</v>
      </c>
      <c r="D28" s="5" t="s">
        <v>17</v>
      </c>
      <c r="E28">
        <v>131</v>
      </c>
      <c r="H28" s="5" t="s">
        <v>17</v>
      </c>
      <c r="I28" s="2">
        <v>7.0328244274809162</v>
      </c>
      <c r="K28" s="9"/>
      <c r="L28" s="10"/>
      <c r="M28" s="11"/>
    </row>
    <row r="29" spans="1:13" x14ac:dyDescent="0.3">
      <c r="A29" s="5">
        <v>2017</v>
      </c>
      <c r="B29">
        <v>35</v>
      </c>
      <c r="D29" s="5" t="s">
        <v>45</v>
      </c>
      <c r="E29">
        <v>109</v>
      </c>
      <c r="H29" s="5" t="s">
        <v>45</v>
      </c>
      <c r="I29" s="2">
        <v>7.1422018348623864</v>
      </c>
      <c r="K29" s="9"/>
      <c r="L29" s="10"/>
      <c r="M29" s="11"/>
    </row>
    <row r="30" spans="1:13" x14ac:dyDescent="0.3">
      <c r="A30" s="5">
        <v>2018</v>
      </c>
      <c r="B30">
        <v>32</v>
      </c>
      <c r="D30" s="5" t="s">
        <v>1067</v>
      </c>
      <c r="E30">
        <v>1000</v>
      </c>
      <c r="H30" s="5" t="s">
        <v>1067</v>
      </c>
      <c r="I30" s="2">
        <v>7.102599999999998</v>
      </c>
      <c r="K30" s="9"/>
      <c r="L30" s="10"/>
      <c r="M30" s="11"/>
    </row>
    <row r="31" spans="1:13" x14ac:dyDescent="0.3">
      <c r="A31" s="5">
        <v>2019</v>
      </c>
      <c r="B31">
        <v>27</v>
      </c>
      <c r="K31" s="9"/>
      <c r="L31" s="10"/>
      <c r="M31" s="11"/>
    </row>
    <row r="32" spans="1:13" x14ac:dyDescent="0.3">
      <c r="A32" s="5">
        <v>2020</v>
      </c>
      <c r="B32">
        <v>20</v>
      </c>
      <c r="K32" s="9"/>
      <c r="L32" s="10"/>
      <c r="M32" s="11"/>
    </row>
    <row r="33" spans="1:13" x14ac:dyDescent="0.3">
      <c r="A33" s="5">
        <v>2021</v>
      </c>
      <c r="B33">
        <v>24</v>
      </c>
      <c r="K33" s="9"/>
      <c r="L33" s="10"/>
      <c r="M33" s="11"/>
    </row>
    <row r="34" spans="1:13" x14ac:dyDescent="0.3">
      <c r="A34" s="5">
        <v>2022</v>
      </c>
      <c r="B34">
        <v>24</v>
      </c>
      <c r="K34" s="9"/>
      <c r="L34" s="10"/>
      <c r="M34" s="11"/>
    </row>
    <row r="35" spans="1:13" x14ac:dyDescent="0.3">
      <c r="A35" s="5">
        <v>2023</v>
      </c>
      <c r="B35">
        <v>24</v>
      </c>
      <c r="K35" s="9"/>
      <c r="L35" s="10"/>
      <c r="M35" s="11"/>
    </row>
    <row r="36" spans="1:13" x14ac:dyDescent="0.3">
      <c r="A36" s="5">
        <v>2024</v>
      </c>
      <c r="B36">
        <v>36</v>
      </c>
      <c r="K36" s="12"/>
      <c r="L36" s="13"/>
      <c r="M36" s="14"/>
    </row>
    <row r="37" spans="1:13" x14ac:dyDescent="0.3">
      <c r="A37" s="5">
        <v>2025</v>
      </c>
      <c r="B37">
        <v>19</v>
      </c>
    </row>
    <row r="38" spans="1:13" x14ac:dyDescent="0.3">
      <c r="A38" s="5" t="s">
        <v>1067</v>
      </c>
      <c r="B38">
        <v>1000</v>
      </c>
    </row>
  </sheetData>
  <pageMargins left="0.7" right="0.7" top="0.75" bottom="0.75" header="0.3" footer="0.3"/>
  <pageSetup orientation="portrait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Movie_Data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Gangavarapu</cp:lastModifiedBy>
  <dcterms:created xsi:type="dcterms:W3CDTF">2026-08-25T07:28:01Z</dcterms:created>
  <dcterms:modified xsi:type="dcterms:W3CDTF">2026-08-27T04:40:58Z</dcterms:modified>
</cp:coreProperties>
</file>